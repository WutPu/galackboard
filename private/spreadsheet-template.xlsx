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3"/>
    <sheet state="visible" name="Grid" sheetId="2" r:id="rId4"/>
    <sheet state="visible" name="Hex Grid" sheetId="3" r:id="rId5"/>
    <sheet state="visible" name=" Named Functions" sheetId="4" r:id="rId6"/>
    <sheet state="visible" name="Spreadsheet Tools" sheetId="5" r:id="rId7"/>
    <sheet state="visible" name="Other Tools" sheetId="6" r:id="rId8"/>
  </sheets>
  <definedNames>
    <definedName name="FILTER_NTH_LETTER">LAMBDA(array, index, letters, REGEXFILTER_EXACT(array, REGEX_NTH_LETTER(index, letters)))</definedName>
    <definedName name="CLUE_FORMATTER">LAMBDA(cell, pattern, ARRAYFORMULA(IFERROR(
LET(x,REGEXEXTRACT(cell,SUB(SUB(SUB(SUB(SUB(SUB(SUB_CIPHER_ARR(pattern,{"(",")","[","]",".","*","?", "\", "^", "$"},{"\(","\)","\[","\]","\.","\*","\?", "\\", "\^", "\$"}),"##",CHAR(60000)),"~~",CHAR(60001)),"#","([-.0-9 ]*)"),"~","(.*)"),CHAR(60000),"#"),CHAR(60001),"~")),ARRAYFORMULA(IFERROR(IF(ISBLANK(x),x,VALUE(x)),x))),cell)))</definedName>
    <definedName name="EVAL">LAMBDA(cell, query(,"Select "&amp;cell&amp;" label "&amp;cell&amp;" ''",0))</definedName>
    <definedName name="MISSING_LETTERS">LAMBDA(cell, regexreplace("ABCDEFGHIJKLMNOPQRSTUVWXYZ","["&amp;upper(cell)&amp;"]",""))</definedName>
    <definedName name="BRAILLE">LAMBDA(cell, CONCATENATE(ARRAYFORMULA(IF(MID(upper(CELL),SEQUENCE(LEN(CELL)),1)=" ","/",IFERROR(CHAR(10240 + FIND(MID(upper(CELL),SEQUENCE(LEN(CELL)),1), REGEXREPLACE("A_B_K_L_CIF_MSP_E_H_O_R_DJG_NTQ_____U_V_____X_______Z____W__Y","_"," "))),"")))))</definedName>
    <definedName name="INDEX_INTO">LAMBDA(cell, number, if(len(ANSWERIZE(CELL))&lt;NUMBER,"_",mid(ANSWERIZE(CELL),NUMBER,1)))</definedName>
    <definedName name="REGEXFILTER">LAMBDA(range, regex, FILTER(range,ARRAYFORMULA(REGEXMATCH(range,regex))))</definedName>
    <definedName name="RNA_COMPLEMENT">LAMBDA(input, SUB_CIPHER(input,"ACGTUWSMKRYBDHVN","TGCUUWSKMYRVHDBN"))</definedName>
    <definedName name="ALTERNATING_LETTERS">LAMBDA(text, start, skip, CONCATENATE(ARRAYFORMULA(FILTER(MID(REGEXREPLACE(UPPER(TEXT),"[^A-Z]",""),SEQUENCE(LEN(REGEXREPLACE(UPPER(TEXT),"[^A-Z]",""))),1),MOD(SEQUENCE(LEN(REGEXREPLACE(UPPER(TEXT),"[^A-Z]",""))),SKIP)=MOD(START,SKIP),SEQUENCE(LEN(REGEXREPLACE(UPPER(TEXT),"[^A-Z]","")))&gt;=START
))))</definedName>
    <definedName name="AMBIG_BRAILLE">LAMBDA(range, SUBSTITUTE(CONCATENATE(FILTER(SPLIT_CELLS_VERT("I_S_JWT_A_KUE_OZB_LVH_R_C_MXD_NYF_P_G_Q"),ARRAYFORMULA(REGEXMATCH(PAD_LEFT(DEC2BIN(SEQUENCE(39,1,24)),"0",6),REGEXREPLACE(CONCATENATE(ARRAYFORMULA(IF(ISBLANK(range),".",MID(range,1,1))))
,"[^01]","."))))),"_",""))</definedName>
    <definedName name="GROW_COMPONENT">LAMBDA(targets, reached, width, IF(COUNTA(SORT(UNIQUE({REACHED;IFERROR(FILTER({REACHED+WIDTH;REACHED-WIDTH},COUNTIF(TARGETS,{REACHED+WIDTH;REACHED-WIDTH})));IFERROR(FILTER(REACHED+1,COUNTIF(TARGETS,REACHED+1),MOD(REACHED+1,WIDTH)&lt;&gt;1));IFERROR(FILTER(REACHED-1,COUNTIF(TARGETS,REACHED-1),MOD(REACHED-1,WIDTH)&lt;&gt;0))})))&gt;COUNTA(REACHED),GROW_COMPONENT(TARGETS,SORT(UNIQUE({REACHED;IFERROR(FILTER({REACHED+WIDTH;REACHED-WIDTH},COUNTIF(TARGETS,{REACHED+WIDTH;REACHED-WIDTH})));IFERROR(FILTER(REACHED+1,COUNTIF(TARGETS,REACHED+1),MOD(REACHED+1,WIDTH)&lt;&gt;1));IFERROR(FILTER(REACHED-1,COUNTIF(TARGETS,REACHED-1),MOD(REACHED-1,WIDTH)&lt;&gt;0))})),WIDTH),REACHED))</definedName>
    <definedName name="ENUMERATE">LAMBDA(cell, IF(CELL="","",IF(REGEXMATCH(LEFT(UPPER(CELL),1),"[^A-Z0-9_]"),LEFT(UPPER(CELL),1)&amp;ENUMERATE(MID(CELL,2,LEN(CELL)-1)),LEN(REGEXREPLACE(UPPER(CELL),"[^A-Z0-9_].*",""))&amp;ENUMERATE(MID(CELL,LEN(REGEXREPLACE(UPPER(CELL),"[^A-Z0-9_].*",""))+1,LEN(CELL))))))</definedName>
    <definedName name="FROM_PHONESPELL">LAMBDA(cell, NUTRIQUERY(SUB_CIPHER_ARR(cell,{"2";"3";"4";"5";"6";"7";"8";"9"},{"[abc]";"[def]";"[ghi]";"[jkl]";"[mno]";"[pqrs]";"[tuv]";"[wxyz]"})))</definedName>
    <definedName name="VIGENERE">LAMBDA(text, key, direction, ARRAYFORMULA(CONCATENATE(CHAR(65+MOD(CODE(MID(REGEXREPLACE(UPPER(TEXT),"[^A-Z]",""),SEQUENCE(LEN(REGEXREPLACE(UPPER(TEXT),"[^A-Z]",""))),1))-65+DIRECTION*CODE(MID(REGEXREPLACE(UPPER(KEY),"[^A-Z]",""),1+MOD(SEQUENCE(LEN(REGEXREPLACE(UPPER(TEXT),"[^A-Z]","")))-1,LEN(REGEXREPLACE(UPPER(KEY),"[^A-Z]",""))),1))-65,26)))))</definedName>
    <definedName name="TO_2D_ARRAY">LAMBDA(array, LEFT_ALL_BUT(SUBSTITUTE(("[["&amp;JOIN(",",FLATTEN({ARRAYFORMULA(IF(ISNUMBER(array),array,Q(array))),TRANSPOSE(SPLIT_INTO_CHUNKS(REPT("],[",ROWS(array)), 3))}))),",],[,","],["),4)&amp;"]]")</definedName>
    <definedName name="SUCC_BIGINT">LAMBDA(cell, IF(cell="","1",IF(RIGHT(cell,1)="9",SUCC_BIGINT(LEFT_ALL_BUT(cell,1))&amp;"0",LEFT_ALL_BUT(cell,1)&amp;(RIGHT(cell,1)+1))))</definedName>
    <definedName name="FILTER_LENGTH">LAMBDA(array, length, REGEXFILTER_EXACT(array, "[^a-zA-Z]*(?:[a-zA-Z][^a-zA-Z]*){"&amp;length&amp;"}"))</definedName>
    <definedName name="ANS">LAMBDA(cell, ARRAYFORMULA(REGEXREPLACE(UPPER(cell),"[^A-Z0-9]+","")))</definedName>
    <definedName name="AZLEN">LAMBDA(cell, LEN(REGEXREPLACE(cell,"[^A-Za-z]+","")))</definedName>
    <definedName name="SUB_CIPHER">LAMBDA(original, in_key, out_key, CONCATENATE(ARRAYFORMULA(IFERROR(HLOOKUP(SPLIT_INTO_CELLS(original),{SPLIT_INTO_CELLS(in_key);SPLIT_INTO_CELLS(out_key)},2,FALSE),SPLIT_INTO_CELLS(original)))))</definedName>
    <definedName name="ELEMENT_LIST">LAMBDA({1,"H","Hydrogen",1.008;2,"He","Helium",4.0026;3,"Li","Lithium",6.94;4,"Be","Beryllium",9.0122;5,"B","Boron",10.81;6,"C","Carbon",12.011;7,"N","Nitrogen",14.007;8,"O","Oxygen",15.999;9,"F","Fluorine",18.998;10,"Ne","Neon",20.18;11,"Na","Sodium",22.99;12,"Mg","Magnesium",24.305;13,"Al","Aluminium",26.982;14,"Si","Silicon",28.085;15,"P","Phosphorus",30.974;16,"S","Sulfur",32.06;17,"Cl","Chlorine",35.45;18,"Ar","Argon",39.95;19,"K","Potassium",39.098;20,"Ca","Calcium",40.078;21,"Sc","Scandium",44.956;22,"Ti","Titanium",47.867;23,"V","Vanadium",50.942;24,"Cr","Chromium",51.996;25,"Mn","Manganese",54.938;26,"Fe","Iron",55.845;27,"Co","Cobalt",58.933;28,"Ni","Nickel",58.693;29,"Cu","Copper",63.546;30,"Zn","Zinc",65.38;31,"Ga","Gallium",69.723;32,"Ge","Germanium",72.63;33,"As","Arsenic",74.922;34,"Se","Selenium",78.971;35,"Br","Bromine",79.904;36,"Kr","Krypton",83.798;37,"Rb","Rubidium",85.468;38,"Sr","Strontium",87.62;39,"Y","Yttrium",88.906;40,"Zr","Zirconium",91.224;41,"Nb","Niobium",92.906;42,"Mo","Molybdenum",95.95;43,"Tc","Technetium",97;44,"Ru","Ruthenium",101.07;45,"Rh","Rhodium",102.91;46,"Pd","Palladium",106.42;47,"Ag","Silver",107.87;48,"Cd","Cadmium",112.41;49,"In","Indium",114.82;50,"Sn","Tin",118.71;51,"Sb","Antimony",121.76;52,"Te","Tellurium",127.6;53,"I","Iodine",126.9;54,"Xe","Xenon",131.29;55,"Cs","Caesium",132.91;56,"Ba","Barium",137.33;57,"La","Lanthanum",138.91;58,"Ce","Cerium",140.12;59,"Pr","Praseodymium",140.91;60,"Nd","Neodymium",144.24;61,"Pm","Promethium",145;62,"Sm","Samarium",150.36;63,"Eu","Europium",151.96;64,"Gd","Gadolinium",157.25;65,"Tb","Terbium",158.93;66,"Dy","Dysprosium",162.5;67,"Ho","Holmium",164.93;68,"Er","Erbium",167.26;69,"Tm","Thulium",168.93;70,"Yb","Ytterbium",173.05;71,"Lu","Lutetium",174.97;72,"Hf","Hafnium",178.49;73,"Ta","Tantalum",180.95;74,"W","Tungsten",183.84;75,"Re","Rhenium",186.21;76,"Os","Osmium",190.23;77,"Ir","Iridium",192.22;78,"Pt","Platinum",195.08;79,"Au","Gold",196.97;80,"Hg","Mercury",200.59;81,"Tl","Thallium",204.38;82,"Pb","Lead",207.2;83,"Bi","Bismuth",208.98;84,"Po","Polonium",209;85,"At","Astatine",210;86,"Rn","Radon",222;87,"Fr","Francium",223;88,"Ra","Radium",226;89,"Ac","Actinium",227;90,"Th","Thorium",232.04;91,"Pa","Protactinium",231.04;92,"U","Uranium",238.03;93,"Np","Neptunium",237;94,"Pu","Plutonium",244;95,"Am","Americium",243;96,"Cm","Curium",247;97,"Bk","Berkelium",247;98,"Cf","Californium",251;99,"Es","Einsteinium",252;100,"Fm","Fermium",257;101,"Md","Mendelevium",258;102,"No","Nobelium",259;103,"Lr","Lawrencium",266;104,"Rf","Rutherfordium",267;105,"Db","Dubnium",268;106,"Sg","Seaborgium",267;107,"Bh","Bohrium",270;108,"Hs","Hassium",271;109,"Mt","Meitnerium",278;110,"Ds","Darmstadtium",281;111,"Rg","Roentgenium",282;112,"Cn","Copernicium",285;113,"Nh","Nihonium",286;114,"Fl","Flerovium",289;115,"Mc","Moscovium",290;116,"Lv","Livermorium",293;117,"Ts","Tennessine",294;118,"Og","Oganesson",294})</definedName>
    <definedName name="NGRAMS_ALL">LAMBDA(cell, number, JOIN(" ",TRANSPOSE(ARRAYFORMULA(MID(ANSWERIZE(CELL),SEQUENCE(len(ANSWERIZE(CELL))-NUMBER+1),NUMBER)))))</definedName>
    <definedName name="I">LAMBDA(cell, number, ARRAYFORMULA(if(len(ANSWERIZE(CELL))&lt;NUMBER,"_",mid(ANSWERIZE(CELL),NUMBER,1))))</definedName>
    <definedName name="DNA_COMPLEMENT">LAMBDA(input, SUB_CIPHER(input,"ACGTUWSMKRYBDHVN","TGCAAWSKMYRVHDBN"))</definedName>
    <definedName name="SEMAPHORE_ANGLE">LAMBDA(cell, 
SUBSTITUTE(SUBSTITUTE(SUBSTITUTE(
SUBSTITUTE(REGEXREPLACE(cell&amp;"", "[^1234]", ""), "1", "WZGAHOT"), "2", "JXFNBIPU"), "3", "VEMSCKQY"), "4", "DLR"))</definedName>
    <definedName name="MAKE_CROSSWORD">LAMBDA(grid, across_numbers, across_words, down_numbers, down_words, MAKEARRAY(ROWS(GRID),COLUMNS(GRID),LAMBDA(R,C,TEXTJOIN("/",TRUE,UNIQUE({CROSSWORD_LETTER(GRID,ACROSS_NUMBERS,ACROSS_WORDS,R,C,1,0,-1);CROSSWORD_LETTER(GRID,DOWN_NUMBERS,DOWN_WORDS,R,C,1,-1,0)})))))</definedName>
    <definedName name="AMBIG_BINARY">LAMBDA(cell_or_range, CONCATENATE(FILTER(ALPHABET(),ARRAYFORMULA(REGEXMATCH(PAD_LEFT(DEC2BIN(SEQUENCE(26)),"0",5),REGEXREPLACE(PAD_LEFT(
CONCATENATE(ARRAYFORMULA(IF(ISBLANK(cell_or_range),".",cell_or_range))),"0",5)
,"[^01]","."))))))</definedName>
    <definedName name="GASHLYCRUMB_ALPHABET">LAMBDA({"Amy","fell down the stairs";"Basil","assaulted by bears";"Clara","wasted away";"Desmond","thrown out of a sleigh";"Ernest","choked on a peach";"Fanny","sucked dry by a leech";"George","smothered under a rug";"Hector","done in by a thug";"Ida","drowned in a lake";"James","took lye by mistake";"Kate","struck with an axe";"Leo","swallowed some tacks";"Maud","swept out to sea";"Neville","died of ennui";"Olive","run through with an awl";"Prue","trampled flat in a brawl";"Quentin","sank in a mire";"Rhoda","consumed by a fire";"Susan","perished of fits";"Titus","flew into bits";"Una","slipped down a drain";"Victor","squashed under a train";"Winnie","embedded in ice";"Xerxes","devoured by mice";"Yorick","head was knocked in";"Zillah","drank too much gin"})</definedName>
    <definedName name="TO_ARRAY">LAMBDA(array, LET(x,FLATTEN(array),"["&amp;JOIN(",",ARRAYFORMULA(IF(ISNUMBER(x),x,Q(x))))&amp;"]"))</definedName>
    <definedName name="KINSEY_MILLHONE_ALPHABET">LAMBDA({"Alibi";"Burglar";"Corpse";"Deadbeat";"Evidence";"Fugitive";"Gumshoe";"Homicide";"Innocent";"Judgment";"Killer";"Lawless";"Malice";"Noose";"Outlaw";"Peril";"Quarry";"Ricochet";"Silence";"Trespass";"Undertow";"Vengeance";"Wasted";"X";"Yesterday"})</definedName>
    <definedName name="REGEXFILTER_EXACT">LAMBDA(range, regex, FILTER(range,ARRAYFORMULA(REGEXMATCH(range,"^"&amp;regex&amp;"$"))))</definedName>
    <definedName name="CROSSWORD_LIST">LAMBDA(range, TRANSPOSE(SPLIT(REGEXREPLACE(REGEXREPLACE(UPPER(CONCATENATE("_",ARRAYFORMULA(IF(FLATTEN({RANGE,REPT("_",SEQUENCE(ROWS(RANGE)))})="","_",FLATTEN({RANGE,REPT("_",SEQUENCE(ROWS(RANGE)))}))),ARRAYFORMULA(IF(FLATTEN({TRANSPOSE(RANGE),REPT("_",SEQUENCE(COLUMNS(RANGE)))})="","_",FLATTEN({TRANSPOSE(RANGE),REPT("_",SEQUENCE(COLUMNS(RANGE)))}))))),"[^A-Z0-9]","_"),"_(._)*","_"),"_")))</definedName>
    <definedName name="NATO_ALPHABET">LAMBDA({"Alfa";"Bravo";"Charlie";"Delta";"Echo";"Foxtrot";"Golf";"Hotel";"India";"Juliett";"Kilo";"Lima";"Mike";"November";"Oscar";"Papa";"Quebec";"Romeo";"Sierra";"Tango";"Uniform";"Victor";"Whiskey";"Xray";"Yankee";"Zulu"})</definedName>
    <definedName name="TR">LAMBDA(arr, TRANSPOSE(arr))</definedName>
    <definedName name="SHARPEN">LAMBDA(range, columns, MAKEARRAY(CEILING(ROWS(FLATTEN(RANGE))/COLUMNS),COLUMNS,LAMBDA(R,C,IFERROR(INDEX(FLATTEN(RANGE),(R-1)*COLUMNS+C),""))))</definedName>
    <definedName name="HFLIP">LAMBDA(array, TR(VFLIP(TR(array))))</definedName>
    <definedName name="PAIRINDEX">LAMBDA(cell, array, JOIN("",LET(x,ARRAYFORMULA(SPLIT(TRANSPOSE(SPLIT(REGEXREPLACE(cell,"[.:]","|")," ")),"|")),ARRAYFORMULA(I(ARRAYFORMULA(VLOOKUP(INDEX(x, 0, 1), {SEQUENCE(ROWS(array)),array}, 2)),INDEX(x, 0, 2))))))</definedName>
    <definedName name="UNBLANK">LAMBDA(range, ARRAYFORMULA(SUBSTITUTE(FILTER(range,NOT(ISBLANK(range))),"?","")))</definedName>
    <definedName name="COUNT_ONLY">LAMBDA(string, letter, LEN(REGEXREPLACE(UPPER(string),"[^"&amp;UPPER(letter)&amp;"]","")))</definedName>
    <definedName name="PAD_LEFT">LAMBDA(string, character, length, REPT(character, length-LEN(string))&amp;string)</definedName>
    <definedName name="A1Z26SUM">LAMBDA(cell, SUM(ARRAYFORMULA(IFNA(VLOOKUP(MID(UPPER(CELL),SEQUENCE(LEN(CELL)),1),{"A", 1; "B", 2; "C", 3; "D", 4; "E", 5; "F", 6; "G", 7; "H", 8; "I", 9; "J", 10; "K", 11; "L", 12; "M", 13; "N", 14; "O", 15; "P", 16; "Q", 17; "R", 18; "S", 19; "T", 20; "U", 21; "V", 22; "W", 23; "X", 24; "Y", 25; "Z", 26},2,FALSE),0))))</definedName>
    <definedName name="MULTIINDEX">LAMBDA(array, index, LET(x, SUBSTITUTE(JOIN("",ARRAYFORMULA(I(array,index))),"_",""),IF(x = "", "_", x)))</definedName>
    <definedName name="ISPRIME">LAMBDA(cell, let(n, cell, t,true,f,false,ifs(or(not(isnumber(n)),isdate(n)),iferror(ø),or(n=2,n=3,n=5,n=7),t,or(n&lt;=1,int(n)&lt;&gt;n),f,or(mod(n,2)=0,mod(n,3)=0,mod(n,5)=0),f,t,reduce(t,sequence(sqrt(n)/6+1,1,5,6),lambda(r,d,ifs(r=f,f,or(mod(n,d)=0,mod(n,d+2)=0),f,t,t))))))</definedName>
    <definedName name="SPLIT_INTO_CHUNKS">LAMBDA(cell, chunk_size, if(len(CELL)=0,"",TRANSPOSE(ARRAYFORMULA(MID(cell,SEQUENCE(CEILING(LEN(cell)/chunk_size),1,1,chunk_size),chunk_size
)))))</definedName>
    <definedName name="DIAGONAL_LETTERS">LAMBDA(cell_range, CONCATENATE(ARRAYFORMULA(INDEX_INTO(CELL_RANGE,SEQUENCE(ROWs(CELL_RANGE))))))</definedName>
    <definedName name="ATBASH">LAMBDA(cell, SUB_CIPHER(cell,"ABCDEFGHIJKLMNOPQRSTUVWXYZ","ZYXWVUTSRQPONMLKJIHGFEDCBA"))</definedName>
    <definedName name="PAD_RIGHT">LAMBDA(string, character, length, string&amp;REPT(character, length-LEN(string)))</definedName>
    <definedName name="ANSWERIZE">LAMBDA(cell, REGEXREPLACE(UPPER(cell),"[^A-Z0-9]+",""))</definedName>
    <definedName name="LEFT_ALL_BUT">LAMBDA(string, number, LEFT(string, LEN(string)-number))</definedName>
    <definedName name="LEN_A">LAMBDA(string, LEN(ANS(string)))</definedName>
    <definedName name="REVERSE">LAMBDA(cell, CONCATENATE(ARRAYFORMULA(MID(CELL,LEN(CELL)+1-SEQUENCE(LEN(CELL)),1))))</definedName>
    <definedName name="TO_SHEET_ARRAY">LAMBDA(array, LEFT_ALL_BUT(SUBSTITUTE(("={"&amp;JOIN(",",FLATTEN({ARRAYFORMULA(IF(ISNUMBER(array),array,Q(array))),SPLIT_CELLS_VERT(REPT(";",ROWS(array)))}))),",;,",";"),2)&amp;"}")</definedName>
    <definedName name="EIGENLETTER">LAMBDA(cell, cell2, IF(MIN(LEN(CELL),LEN(CELL2))=0,"",CONCATENATE(ARRAYFORMULA(IF(MID(CELL,SEQUENCE(MIN(LEN(CELL),LEN(CELL2))),1)=MID(CELL2,SEQUENCE(MIN(LEN(CELL),LEN(CELL2))),1),MID(CELL,SEQUENCE(MIN(LEN(CELL),LEN(CELL2))),1),"")))))</definedName>
    <definedName name="VFLIP">LAMBDA(array, SORT(array,SEQUENCE(ROWS(array)),FALSE))</definedName>
    <definedName name="GREEK_ALPHABET">LAMBDA({"alpha";"beta";"gamma";"delta";"epsilon";"zeta";"eta";"theta";"iota";"kappa";"lambda";"mu";"nu";"xi";"omicron";"pi";"rho";"sigma";"tau";"upsilon";"phi";"chi";"psi";"omega"})</definedName>
    <definedName name="ROTATE_180">LAMBDA(array, HFLIP(TR(HFLIP(TR(array)))))</definedName>
    <definedName name="COUNTRY_FLAG">LAMBDA(country_code, image("https://raw.githubusercontent.com/hampusborgos/country-flags/main/png1000px/"&amp;LOWER(country_code)&amp;".png"))</definedName>
    <definedName name="NGRAMS">LAMBDA(cell, number, JOIN(" ",ARRAYFORMULA(MID(ANSWERIZE(CELL),1+NUMBER*(sequence(CEILING(Len(ANSWERIZE(CELL))/NUMBER))-1),NUMBER))))</definedName>
    <definedName name="NUMBERED_GRID">LAMBDA(grid1, grid2, SORT(FILTER({FLATTEN(grid2),FLATTEN(grid1)},ISNUMBER(FLATTEN(grid2)))))</definedName>
    <definedName name="WOFA">LAMBDA(range, CONCATENATE(ARRAYFORMULA(IF(RANGE="","A",IF(LEN(RANGE)=1,LOWER(RANGE),"["&amp;LOWER(RANGE)&amp;"]")))))</definedName>
    <definedName name="SORT_BY_LENGTH">LAMBDA(range, SORT(RANGE,LEN(REGEXREPLACE(UPPER(RANGE),"[^A-Z0-9]","")),TRUE,1,TRUE))</definedName>
    <definedName name="SCRABBLE">LAMBDA(cell, SUM(ARRAYFORMULA(IFNA(VLOOKUP(MID(UPPER(CELL),SEQUENCE(LEN(CELL)),1),{"A", 1; "B", 3; "C", 3; "D", 2; "E", 1; "F", 4; "G", 2; "H", 4; "I", 1; "J", 8; "K", 5; "L", 1; "M", 3; "N", 1; "O", 1; "P", 3; "Q", 10; "R", 1; "S", 1; "T", 1; "U", 1; "V", 4; "W", 4; "X", 8; "Y", 4; "Z", 10},2,FALSE),0))))</definedName>
    <definedName name="A1Z26">LAMBDA(cell, IF(ISNUMBER(CELL),IF(AND(CELL&gt;=1,CELL&lt;=26,MOD(CELL,1)=0),CHAR(64+CELL),"Invalid number"),IF(REGEXMATCH(CELL,"^[A-Za-z]$"),CODE(UPPER(CELL))-64,"Invalid character")))</definedName>
    <definedName name="ALPHABET">LAMBDA(ARRAYFORMULA(CHAR(64+SEQUENCE(26))))</definedName>
    <definedName name="BINARY_WOF">LAMBDA(range, IFERROR(CONCATENATE(FILTER(ARRAYFORMULA(CHAR(64+SEQUENCE(26))),REGEXMATCH(TEXT(DEC2BIN(SEQUENCE(26)),"00000"),CONCATENATE(IF(RANGE="",".",RANGE)))))))</definedName>
    <definedName name="PERIODIC_TABLE">LAMBDA({"H","","","","","","","","","","","","","","","","","He";"Li","Be","","","","","","","","","","","B","C","N","O","F","Ne";"Na","Mg","","","","","","","","","","","Al","Si","P","S","Cl","Ar";"K","Ca","Sc","Ti","V","Cr","Mn","Fe","Co","Ni","Cu","Zn","Ga","Ge","As","Se","Br","Kr";"Rb","Sr","Y","Zr","Nb","Mo","Tc","Ru","Rh","Pd","Ag","Cd","In","Sn","Sb","Te","I","Xe";"Cs","Ba","La","Hf","Ta","W","Re","Os","Ir","Pt","Au","Hg","Tl","Pb","Bi","Po","At","Rn";"Fr","Ra","Ac","Rf","Db","Sg","Bh","Hs","Mt","Ds","Rg","Cn","Nh","Fl","Mc","Lv","Ts","Og";"","","","","","","","","","","","","","","","","","";"","","Ce","Pr","Nd","Pm","Sm","Eu","Gd","Tb","Dy","Ho","Er","Tm","Yb","Lu","","";"","","Th","Pa","U","Np","Pu","Am","Cm","Bk","Cf","Es","Fm","Md","No","Lr","",""})</definedName>
    <definedName name="INTERSECT">LAMBDA(cell1, cell2, ALPHABETIZE(REGEXREPLACE(ANSWERIZE(cell1), "[^"&amp;ANSWERIZE(cell2)&amp;"]", "")))</definedName>
    <definedName name="AMBIG_TERNARY">LAMBDA(cell_or_range, CONCATENATE(FILTER(ALPHABET(),ARRAYFORMULA(REGEXMATCH(BASE(SEQUENCE(26), 3, 3),REGEXREPLACE(PAD_LEFT(
CONCATENATE(ARRAYFORMULA(IF(ISBLANK(cell_or_range),".",cell_or_range))),"0",3)
,"[^012]","."))))))</definedName>
    <definedName name="CYCLE_STRING">LAMBDA(cell, number, MID(CELL&amp;CELL,MOD(NUMBER,LEN(CELL))+1,LEN(CELL)))</definedName>
    <definedName name="TO_PHONESPELL">LAMBDA(cell, SUB_CIPHER(ANS(cell),"ABCDEFGHIJKLMNOPQRSTUVWXYZ","22233344455566677778889999"))</definedName>
    <definedName name="SUB">LAMBDA(text_to_search, search_for, replace_with, SUBSTITUTE(text_to_search, search_for, replace_with))</definedName>
    <definedName name="AMBIG_AMINO">LAMBDA(input, ARRAYFORMULA(LETTER_BANK(QUERY(ARRAYFORMULA(IF(REGEXMATCH({"AAA";"AAC";"AAG";"AAT";"ACA";"ACC";"ACG";"ACT";"AGA";"AGC";"AGG";"AGT";"ATA";"ATC";"ATG";"ATT";"CAA";"CAC";"CAG";"CAT";"CCA";"CCC";"CCG";"CCT";"CGA";"CGC";"CGG";"CGT";"CTA";"CTC";"CTG";"CTT";"GAA";"GAC";"GAG";"GAT";"GCA";"GCC";"GCG";"GCT";"GGA";"GGC";"GGG";"GGT";"GTA";"GTC";"GTG";"GTT";"TAA";"TAC";"TAG";"TAT";"TCA";"TCC";"TCG";"TCT";"TGA";"TGC";"TGG";"TGT";"TTA";"TTC";"TTG";"TTT"},"^"&amp;SPLIT(REGEXREPLACE(SUB_CIPHER_ARR(CONCATENATE(input),SPLIT_INTO_CELLS("ACGTUWSMKRYBDHVN?"),SPLIT("A,C,G,T,[T],[AT],[CG],[AC],[GT],[AG],[CT],[CGT],[AGT],[ACT],[ACG],[ACGT],[ACGT]",",")),"((\[[ACTG]*\]|[ACTG]){3})","$1~"),"~")&amp;"$"),{"K";"N";"K";"N";"T";"T";"T";"T";"R";"S";"R";"S";"I";"I";"M";"I";"Q";"H";"Q";"H";"P";"P";"P";"P";"R";"R";"R";"R";"L";"L";"L";"L";"E";"D";"E";"D";"A";"A";"A";"A";"G";"G";"G";"G";"V";"V";"V";"V";"Z";"Y";"Z";"Y";"S";"S";"S";"S";"Z";"C";"W";"C";"L";"F";"L";"F"},"")),,50000))))</definedName>
    <definedName name="MORSE_FROM">LAMBDA(cell, CONCATENATE(ARRAYFORMULA(IFERROR(VLOOKUP(SPLIT(CELL," "),{".-","A";"-...","B";"-.-.","C";"-..","D";".","E";"..-.","F";"--.","G";"....","H";"..","I";".---","J";"-.-","K";".-..","L";"--","M";"-.","N";"---","O";".--.","P";"--.-","Q";".-.","R";"...","S";"-","T";"..-","U";"...-","V";".--","W";"-..-","X";"-.--","Y";"--..","Z";"/"," ";".----","1";"..---","2";"...--","3";"....-","4";".....","5";"-....","6";"--...","7";"---..","8";"----.","9";"-----","0";".-.-.-",".";"--..--",",";"..--..","?";".----.","'";"-.-.--","!";"-..-.","/";"-.--.","(";"-.--.-",")";".-...","&amp;";"---...",":";"-.-.-.",";";"-...-","=";".-.-.-","+";"-....-","-";"..--.-","_";".-..-.","""";"...-..-","$";".--.-.","@"},2,FALSE)))))</definedName>
    <definedName name="NUTRIQUOTE">LAMBDA(range, NUTRIQUERY(Q(WOFA(range))))</definedName>
    <definedName name="REGEX_NTH_LETTER">LAMBDA(index, letters, ".{"&amp;(index-1)&amp;"}["&amp;LOWER(letters)&amp;upper(letters)&amp;"].*")</definedName>
    <definedName name="ATOMIC_MASS">LAMBDA(formula, EVAL(LET(y,LET(x,REGEXREPLACE(REGEXREPLACE(REGEXREPLACE(REGEXREPLACE(SUB(SUB(formula,"⁄","/"),"+","·")
,"[ +,-]",""),"[·]([0-9./]*)([^0-9./·
][^·]*)","($2)$1"),"([A-Z()])"," $1"),"([0-9]+([\./][0-9]+)?)"," *$1"),SUB(CONCATENATE(ARRAYFORMULA(IFERROR("+"&amp;XLOOKUP(SPLIT(x," "),INDEX(ELEMENT_LIST(),0,2),INDEX(ELEMENT_LIST(),0,4)),SPLIT(x," ")))),"(+","+(")),MID(y,2,LEN(y)))))</definedName>
    <definedName name="PIECES">LAMBDA(range, from, to, starts, iters, IF(ITERS=0,MAP(SEQUENCE(1,COLUMNS(RANGE)),LAMBDA(x,"")),IF(ISERROR(INDEX(STARTS,1)),MAP(SEQUENCE(1,COLUMNS(RANGE)),LAMBDA(x,"")),IF(ISERROR(FILTER(RANGE,FROM=INDEX(STARTS,1))),{MAP(SEQUENCE(1,COLUMNS(RANGE)),LAMBDA(x,""));IFERROR(PIECES(RANGE,FROM,TO,FILTER(STARTS,STARTS&lt;&gt;INDEX(STARTS,1)),ITERS))},{FILTER(RANGE,FROM=INDEX(STARTS,1));IFERROR(PIECES(RANGE,FROM,TO,{VLOOKUP(INDEX(STARTS,1),{FROM,TO},2,FALSE);FILTER(STARTS,STARTS&lt;&gt;INDEX(STARTS,1))},ITERS-1))}))))</definedName>
    <definedName name="BINARY_COUNT">LAMBDA(cell, SUBSTITUTE(SUBSTITUTE(SUBSTITUTE(
SUBSTITUTE(REGEXREPLACE(cell&amp;"", "[^1234]", ""), "1", "ABDHP"), "2", "CEFIJLQRTX"), "3", "GKMNSUVYZ"), "4", "OW"))</definedName>
    <definedName name="PERIODIC">LAMBDA(cell, TEXTJOIN(" ",TRUE,ARRAYFORMULA(IFNA(VLOOKUP(split(CELL," "),{1, "H"; 2, "He"; 3, "Li"; 4, "Be"; 5, "B"; 6, "C"; 7, "N"; 8, "O"; 9, "F"; 10, "Ne"; 11, "Na"; 12, "Mg"; 13, "Al"; 14, "Si"; 15, "P"; 16, "S"; 17, "Cl"; 18, "Ar"; 19, "K"; 20, "Ca"; 21, "Sc"; 22, "Ti"; 23, "V"; 24, "Cr"; 25, "Mn"; 26, "Fe"; 27, "Co"; 28, "Ni"; 29, "Cu"; 30, "Zn"; 31, "Ga"; 32, "Ge"; 33, "As"; 34, "Se"; 35, "Br"; 36, "Kr"; 37, "Rb"; 38, "Sr"; 39, "Y"; 40, "Zr"; 41, "Nb"; 42, "Mo"; 43, "Tc"; 44, "Ru"; 45, "Rh"; 46, "Pd"; 47, "Ag"; 48, "Cd"; 49, "In"; 50, "Sn"; 51, "Sb"; 52, "Te"; 53, "I"; 54, "Xe"; 55, "Cs"; 56, "Ba"; 57, "La"; 58, "Ce"; 59, "Pr"; 60, "Nd"; 61, "Pm"; 62, "Sm"; 63, "Eu"; 64, "Gd"; 65, "Tb"; 66, "Dy"; 67, "Ho"; 68, "Er"; 69, "Tm"; 70, "Yb"; 71, "Lu"; 72, "Hf"; 73, "Ta"; 74, "W"; 75, "Re"; 76, "Os"; 77, "Ir"; 78, "Pt"; 79, "Au"; 80, "Hg"; 81, "Tl"; 82, "Pb"; 83, "Bi"; 84, "Po"; 85, "At"; 86, "Rn"; 87, "Fr"; 88, "Ra"; 89, "Ac"; 90, "Th"; 91, "Pa"; 92, "U"; 93, "Np"; 94, "Pu"; 95, "Am"; 96, "Cm"; 97, "Bk"; 98, "Cf"; 99, "Es"; 100, "Fm"; 101, "Md"; 102, "No"; 103, "Lr"; 104, "Rf"; 105, "Db"; 106, "Sg"; 107, "Bh"; 108, "Hs"; 109, "Mt"; 110, "Ds"; 111, "Rg"; 112, "Cn"; 113, "Nh"; 114, "Fl"; 115, "Mc"; 116, "Lv"; 117, "Ts"; 118, "Og"},2,FALSE),"?"))))</definedName>
    <definedName name="SPLIT_CELLS_VERT">LAMBDA(cell, if(len(CELL)=0,"",ARRAYFORMULA(MID(cell,SEQUENCE(LEN(cell)),1))))</definedName>
    <definedName name="COUNTRY_MAP">LAMBDA(country_code, image("https://raw.githubusercontent.com/djaiss/mapsicon/master/all/"&amp;LOWER(country_code)&amp;"/512.png"))</definedName>
    <definedName name="LETTER_BANK">LAMBDA(cell, regexreplace("ABCDEFGHIJKLMNOPQRSTUVWXYZ","[^"&amp;REGEXREPLACE(UPPER(CELL),"[^A-Z]","")&amp;"]",""))</definedName>
    <definedName name="WOF">LAMBDA(range, CONCATENATE(ARRAYFORMULA(IF(RANGE="","_",IF(LEN(RANGE)=1,LOWER(RANGE),"["&amp;LOWER(RANGE)&amp;"]")))))</definedName>
    <definedName name="NUTRI">LAMBDA(range, NUTRIQUERY(WOFA(range)))</definedName>
    <definedName name="ATOMIC">LAMBDA(cell, TEXTJOIN(" ",TRUE,ARRAYFORMULA(IFERROR(VLOOKUP(split(CELL," "),{ "H", 1; "He", 2; "Li", 3; "Be", 4; "B", 5; "C", 6; "N", 7; "O", 8; "F", 9; "Ne", 10; "Na", 11; "Mg", 12; "Al", 13; "Si", 14; "P", 15; "S", 16; "Cl", 17; "Ar", 18; "K", 19; "Ca", 20; "Sc", 21; "Ti", 22; "V", 23; "Cr", 24; "Mn", 25; "Fe", 26; "Co", 27; "Ni", 28; "Cu", 29; "Zn", 30; "Ga", 31; "Ge", 32; "As", 33; "Se", 34; "Br", 35; "Kr", 36; "Rb", 37; "Sr", 38; "Y", 39; "Zr", 40; "Nb", 41; "Mo", 42; "Tc", 43; "Ru", 44; "Rh", 45; "Pd", 46; "Ag", 47; "Cd", 48; "In", 49; "Sn", 50; "Sb", 51; "Te", 52; "I", 53; "Xe", 54; "Cs", 55; "Ba", 56; "La", 57; "Ce", 58; "Pr", 59; "Nd", 60; "Pm", 61; "Sm", 62; "Eu", 63; "Gd", 64; "Tb", 65; "Dy", 66; "Ho", 67; "Er", 68; "Tm", 69; "Yb", 70; "Lu", 71; "Hf", 72; "Ta", 73; "W", 74; "Re", 75; "Os", 76; "Ir", 77; "Pt", 78; "Au", 79; "Hg", 80; "Tl", 81; "Pb", 82; "Bi", 83; "Po", 84; "At", 85; "Rn", 86; "Fr", 87; "Ra", 88; "Ac", 89; "Th", 90; "Pa", 91; "U", 92; "Np", 93; "Pu", 94; "Am", 95; "Cm", 96; "Bk", 97; "Cf", 98; "Es", 99; "Fm", 100; "Md", 101; "No", 102; "Lr", 103; "Rf", 104; "Db", 105; "Sg", 106; "Bh", 107; "Hs", 108; "Mt", 109; "Ds", 110; "Rg", 111; "Cn", 112; "Nh", 113; "Fl", 114; "Mc", 115; "Lv", 116; "Ts", 117; "Og", 118 },2,FALSE),"?"))))</definedName>
    <definedName name="MORSE_TO">LAMBDA(cell, JOIN(" ",ARRAYFORMULA(IFERROR(VLOOKUP(SUBSTITUTE(MID(UPPER(CELL),SEQUENCE(LEN(UPPER(CELL))),1),"?","~?"),{"A",".-";"B","-...";"C","-.-.";"D","-..";"E",".";"F","..-.";"G","--.";"H","....";"I","..";"J",".---";"K","-.-";"L",".-..";"M","--";"N","-.";"O","---";"P",".--.";"Q","--.-";"R",".-.";"S","...";"T","-";"U","..-";"V","...-";"W",".--";"X","-..-";"Y","-.--";"Z","--..";" ","/";"1",".----";"2","..---";"3","...--";"4","....-";"5",".....";"6","-....";"7","--...";"8","---..";"9","----.";"0","-----";".",".-.-.-";",","--..--";"?","..--..";"'",".----.";"!","-.-.--";"/","-..-.";"(","-.--.";")","-.--.-";"&amp;",".-...";":","---...";";","-.-.-.";"=","-...-";"+",".-.-.-";"-","-....-";"_","..--.-";"""",".-..-.";"$","...-..-";"@",".--.-."},2,FALSE)))))</definedName>
    <definedName name="SPLIT_INTO_CELLS">LAMBDA(cell, if(len(CELL)=0,"",TRANSPOSE(ARRAYFORMULA(MID(cell,SEQUENCE(LEN(cell)),1)))))</definedName>
    <definedName name="QAT">LAMBDA(range, "https://quinapalus.com/cgi-bin/qat?pat="&amp;SUBSTITUTE(
WOF(range),"_","."))</definedName>
    <definedName name="ALPHABETIZE">LAMBDA(cell, ARRAYFORMULA(CONCATENATE(SORT(MID(UPPER(CELL),SEQUENCE(LEN(CELL)),1)))))</definedName>
    <definedName name="AMBIG_SEMAPHORE">LAMBDA(range, SUBSTITUTE(CONCATENATE(FILTER(SPLIT_CELLS_VERT("__G_NA__ZF_M____SB_H___R________XE_L___W_______Q________________VD_K___J_______P_________________________________________________C_I___Y_______O_______________U_______________________________T"),ARRAYFORMULA(REGEXMATCH(PAD_LEFT(DEC2BIN(SEQUENCE(192)),"0",8),REGEXREPLACE(REPLACE(CONCATENATE(ARRAYFORMULA(IF(ISBLANK(range),".",MID(range,1,1)))),5,1,"")
,"[^01]","."))))),"_",""))</definedName>
    <definedName name="NUTRIQ">LAMBDA(range, LET(x,"https://nutrimatic.org/?q="&amp;
Q(WOFA(range)),
{x;IMPORTXML(x,"//span")}))</definedName>
    <definedName name="AMBIG_MORSE">LAMBDA(cell, CONCATENATE(FILTER(ALPHABET(),ARRAYFORMULA(REGEXMATCH({".-";"-...";"-.-.";"-..";".";"..-.";"--.";"....";"..";".---";"-.-";".-..";"--";"-.";"---";".--.";"--.-";".-.";"...";"-";"..-";"...-";".--";"-..-";"-.--";"--.."},
"^"&amp;SUBSTITUTE(SUBSTITUTE(SUBSTITUTE(REGEXREPLACE(cell,"[^-.*?]",""),"*","[.-]*"),"?","[.-]"),".","\.")&amp;"$")))))</definedName>
    <definedName name="CROSSWORD_LETTER">LAMBDA(grid, numbers, words, r, c, ind, dr, dc, IF(OR(R&lt;1,C&lt;1),"",IFERROR(INDEX(BRACKET_SPLIT(VLOOKUP(INDEX(GRID,R,C),{NUMBERS,WORDS},2,FALSE)),IND),CROSSWORD_LETTER(GRID,NUMBERS,WORDS,R+DR,C+DC,IND+1,DR,DC))))</definedName>
    <definedName name="INDEX_INTO_SENTENCE">LAMBDA(cell, number, IFERROR(index(split(cell," "),number),""))</definedName>
    <definedName name="COMPONENT_COUNT_FROM_LIST">LAMBDA(targets, width, sofar, IF(COUNTA(TARGETS)=0,SOFAR,COMPONENT_COUNT_FROM_LIST(IFERROR(FILTER(TARGETS,COUNTIF(GROW_COMPONENT(TARGETS,MIN(TARGETS),WIDTH),TARGETS)=0)),WIDTH,SOFAR+1)))</definedName>
    <definedName name="BRAILLE_COUNT">LAMBDA(cell, SUBSTITUTE(
SUBSTITUTE(SUBSTITUTE(SUBSTITUTE(
SUBSTITUTE(REGEXREPLACE(cell&amp;"", "[^12345]", ""), "1", "A"), "2", "BCEIK"), "3", "DFHJLMOSU"), "4", "GNPRTVWXZ"), "5", "QY"))</definedName>
    <definedName name="COMPONENT_COUNT">LAMBDA(grid, letter, IF(COUNTIF(GRID,LETTER)=0,0,COMPONENT_COUNT_FROM_LIST(FILTER(SEQUENCE(ROWS(GRID)*COLUMNS(GRID))+COLUMNS(GRID),FLATTEN(GRID)=LETTER),COLUMNS(GRID),0)))</definedName>
    <definedName name="MORSE_COUNT">LAMBDA(length, dots, dashes, CONCATENATE(FILTER(ALPHABET(),REGEXMATCH({"x211";"x431";"x422";"x321";"x110";"x431";"x312";"x440";"x220";"x413";"x312";"x431";"x202";"x211";"x303";"x422";"x413";"x321";"x330";"x101";"x321";"x431";"x312";"x422";"x413";"x422"},"x["&amp;SUBSTITUTE(REGEXREPLACE(length&amp;"","[^-0-4]",""),"-1","12340")&amp;"]["&amp;SUBSTITUTE(REGEXREPLACE(dots&amp;"","[^-0-4]",""),"-1","1234")&amp;"]["&amp;SUBSTITUTE(REGEXREPLACE(dashes&amp;"","[^-0-4]",""),"-1","12340")&amp;"]")
)))</definedName>
    <definedName name="POKEDEX">LAMBDA({1,"Bulbasaur";2,"Ivysaur";3,"Venusaur";4,"Charmander";5,"Charmeleon";6,"Charizard";7,"Squirtle";8,"Wartortle";9,"Blastoise";10,"Caterpie";11,"Metapod";12,"Butterfree";13,"Weedle";14,"Kakuna";15,"Beedrill";16,"Pidgey";17,"Pidgeotto";18,"Pidgeot";19,"Rattata";20,"Raticate";21,"Spearow";22,"Fearow";23,"Ekans";24,"Arbok";25,"Pikachu";26,"Raichu";27,"Sandshrew";28,"Sandslash";29,"Nidoran♀";30,"Nidorina";31,"Nidoqueen";32,"Nidoran♂";33,"Nidorino";34,"Nidoking";35,"Clefairy";36,"Clefable";37,"Vulpix";38,"Ninetales";39,"Jigglypuff";40,"Wigglytuff";41,"Zubat";42,"Golbat";43,"Oddish";44,"Gloom";45,"Vileplume";46,"Paras";47,"Parasect";48,"Venonat";49,"Venomoth";50,"Diglett";51,"Dugtrio";52,"Meowth";53,"Persian";54,"Psyduck";55,"Golduck";56,"Mankey";57,"Primeape";58,"Growlithe";59,"Arcanine";60,"Poliwag";61,"Poliwhirl";62,"Poliwrath";63,"Abra";64,"Kadabra";65,"Alakazam";66,"Machop";67,"Machoke";68,"Machamp";69,"Bellsprout";70,"Weepinbell";71,"Victreebel";72,"Tentacool";73,"Tentacruel";74,"Geodude";75,"Graveler";76,"Golem";77,"Ponyta";78,"Rapidash";79,"Slowpoke";80,"Slowbro";81,"Magnemite";82,"Magneton";83,"Farfetch'd";84,"Doduo";85,"Dodrio";86,"Seel";87,"Dewgong";88,"Grimer";89,"Muk";90,"Shellder";91,"Cloyster";92,"Gastly";93,"Haunter";94,"Gengar";95,"Onix";96,"Drowzee";97,"Hypno";98,"Krabby";99,"Kingler";100,"Voltorb";101,"Electrode";102,"Exeggcute";103,"Exeggutor";104,"Cubone";105,"Marowak";106,"Hitmonlee";107,"Hitmonchan";108,"Lickitung";109,"Koffing";110,"Weezing";111,"Rhyhorn";112,"Rhydon";113,"Chansey";114,"Tangela";115,"Kangaskhan";116,"Horsea";117,"Seadra";118,"Goldeen";119,"Seaking";120,"Staryu";121,"Starmie";122,"Mr. Mime";123,"Scyther";124,"Jynx";125,"Electabuzz";126,"Magmar";127,"Pinsir";128,"Tauros";129,"Magikarp";130,"Gyarados";131,"Lapras";132,"Ditto";133,"Eevee";134,"Vaporeon";135,"Jolteon";136,"Flareon";137,"Porygon";138,"Omanyte";139,"Omastar";140,"Kabuto";141,"Kabutops";142,"Aerodactyl";143,"Snorlax";144,"Articuno";145,"Zapdos";146,"Moltres";147,"Dratini";148,"Dragonair";149,"Dragonite";150,"Mewtwo";151,"Mew";152,"Chikorita";153,"Bayleef";154,"Meganium";155,"Cyndaquil";156,"Quilava";157,"Typhlosion";158,"Totodile";159,"Croconaw";160,"Feraligatr";161,"Sentret";162,"Furret";163,"Hoothoot";164,"Noctowl";165,"Ledyba";166,"Ledian";167,"Spinarak";168,"Ariados";169,"Crobat";170,"Chinchou";171,"Lanturn";172,"Pichu";173,"Cleffa";174,"Igglybuff";175,"Togepi";176,"Togetic";177,"Natu";178,"Xatu";179,"Mareep";180,"Flaaffy";181,"Ampharos";182,"Bellossom";183,"Marill";184,"Azumarill";185,"Sudowoodo";186,"Politoed";187,"Hoppip";188,"Skiploom";189,"Jumpluff";190,"Aipom";191,"Sunkern";192,"Sunflora";193,"Yanma";194,"Wooper";195,"Quagsire";196,"Espeon";197,"Umbreon";198,"Murkrow";199,"Slowking";200,"Misdreavus";201,"Unown";202,"Wobbuffet";203,"Girafarig";204,"Pineco";205,"Forretress";206,"Dunsparce";207,"Gligar";208,"Steelix";209,"Snubbull";210,"Granbull";211,"Qwilfish";212,"Scizor";213,"Shuckle";214,"Heracross";215,"Sneasel";216,"Teddiursa";217,"Ursaring";218,"Slugma";219,"Magcargo";220,"Swinub";221,"Piloswine";222,"Corsola";223,"Remoraid";224,"Octillery";225,"Delibird";226,"Mantine";227,"Skarmory";228,"Houndour";229,"Houndoom";230,"Kingdra";231,"Phanpy";232,"Donphan";233,"Porygon2";234,"Stantler";235,"Smeargle";236,"Tyrogue";237,"Hitmontop";238,"Smoochum";239,"Elekid";240,"Magby";241,"Miltank";242,"Blissey";243,"Raikou";244,"Entei";245,"Suicune";246,"Larvitar";247,"Pupitar";248,"Tyranitar";249,"Lugia";250,"Ho-Oh";251,"Celebi";252,"Treecko";253,"Grovyle";254,"Sceptile";255,"Torchic";256,"Combusken";257,"Blaziken";258,"Mudkip";259,"Marshtomp";260,"Swampert";261,"Poochyena";262,"Mightyena";263,"Zigzagoon";264,"Linoone";265,"Wurmple";266,"Silcoon";267,"Beautifly";268,"Cascoon";269,"Dustox";270,"Lotad";271,"Lombre";272,"Ludicolo";273,"Seedot";274,"Nuzleaf";275,"Shiftry";276,"Taillow";277,"Swellow";278,"Wingull";279,"Pelipper";280,"Ralts";281,"Kirlia";282,"Gardevoir";283,"Surskit";284,"Masquerain";285,"Shroomish";286,"Breloom";287,"Slakoth";288,"Vigoroth";289,"Slaking";290,"Nincada";291,"Ninjask";292,"Shedinja";293,"Whismur";294,"Loudred";295,"Exploud";296,"Makuhita";297,"Hariyama";298,"Azurill";299,"Nosepass";300,"Skitty";301,"Delcatty";302,"Sableye";303,"Mawile";304,"Aron";305,"Lairon";306,"Aggron";307,"Meditite";308,"Medicham";309,"Electrike";310,"Manectric";311,"Plusle";312,"Minun";313,"Volbeat";314,"Illumise";315,"Roselia";316,"Gulpin";317,"Swalot";318,"Carvanha";319,"Sharpedo";320,"Wailmer";321,"Wailord";322,"Numel";323,"Camerupt";324,"Torkoal";325,"Spoink";326,"Grumpig";327,"Spinda";328,"Trapinch";329,"Vibrava";330,"Flygon";331,"Cacnea";332,"Cacturne";333,"Swablu";334,"Altaria";335,"Zangoose";336,"Seviper";337,"Lunatone";338,"Solrock";339,"Barboach";340,"Whiscash";341,"Corphish";342,"Crawdaunt";343,"Baltoy";344,"Claydol";345,"Lileep";346,"Cradily";347,"Anorith";348,"Armaldo";349,"Feebas";350,"Milotic";351,"Castform";352,"Kecleon";353,"Shuppet";354,"Banette";355,"Duskull";356,"Dusclops";357,"Tropius";358,"Chimecho";359,"Absol";360,"Wynaut";361,"Snorunt";362,"Glalie";363,"Spheal";364,"Sealeo";365,"Walrein";366,"Clamperl";367,"Huntail";368,"Gorebyss";369,"Relicanth";370,"Luvdisc";371,"Bagon";372,"Shelgon";373,"Salamence";374,"Beldum";375,"Metang";376,"Metagross";377,"Regirock";378,"Regice";379,"Registeel";380,"Latias";381,"Latios";382,"Kyogre";383,"Groudon";384,"Rayquaza";385,"Jirachi";386,"Deoxys";387,"Turtwig";388,"Grotle";389,"Torterra";390,"Chimchar";391,"Monferno";392,"Infernape";393,"Piplup";394,"Prinplup";395,"Empoleon";396,"Starly";397,"Staravia";398,"Staraptor";399,"Bidoof";400,"Bibarel";401,"Kricketot";402,"Kricketune";403,"Shinx";404,"Luxio";405,"Luxray";406,"Budew";407,"Roserade";408,"Cranidos";409,"Rampardos";410,"Shieldon";411,"Bastiodon";412,"Burmy";413,"Wormadam";414,"Mothim";415,"Combee";416,"Vespiquen";417,"Pachirisu";418,"Buizel";419,"Floatzel";420,"Cherubi";421,"Cherrim";422,"Shellos";423,"Gastrodon";424,"Ambipom";425,"Drifloon";426,"Drifblim";427,"Buneary";428,"Lopunny";429,"Mismagius";430,"Honchkrow";431,"Glameow";432,"Purugly";433,"Chingling";434,"Stunky";435,"Skuntank";436,"Bronzor";437,"Bronzong";438,"Bonsly";439,"Mime Jr.";440,"Happiny";441,"Chatot";442,"Spiritomb";443,"Gible";444,"Gabite";445,"Garchomp";446,"Munchlax";447,"Riolu";448,"Lucario";449,"Hippopotas";450,"Hippowdon";451,"Skorupi";452,"Drapion";453,"Croagunk";454,"Toxicroak";455,"Carnivine";456,"Finneon";457,"Lumineon";458,"Mantyke";459,"Snover";460,"Abomasnow";461,"Weavile";462,"Magnezone";463,"Lickilicky";464,"Rhyperior";465,"Tangrowth";466,"Electivire";467,"Magmortar";468,"Togekiss";469,"Yanmega";470,"Leafeon";471,"Glaceon";472,"Gliscor";473,"Mamoswine";474,"Porygon-Z";475,"Gallade";476,"Probopass";477,"Dusknoir";478,"Froslass";479,"Rotom";480,"Uxie";481,"Mesprit";482,"Azelf";483,"Dialga";484,"Palkia";485,"Heatran";486,"Regigigas";487,"Giratina";488,"Cresselia";489,"Phione";490,"Manaphy";491,"Darkrai";492,"Shaymin";493,"Arceus";494,"Victini";495,"Snivy";496,"Servine";497,"Serperior";498,"Tepig";499,"Pignite";500,"Emboar";501,"Oshawott";502,"Dewott";503,"Samurott";504,"Patrat";505,"Watchog";506,"Lillipup";507,"Herdier";508,"Stoutland";509,"Purrloin";510,"Liepard";511,"Pansage";512,"Simisage";513,"Pansear";514,"Simisear";515,"Panpour";516,"Simipour";517,"Munna";518,"Musharna";519,"Pidove";520,"Tranquill";521,"Unfezant";522,"Blitzle";523,"Zebstrika";524,"Roggenrola";525,"Boldore";526,"Gigalith";527,"Woobat";528,"Swoobat";529,"Drilbur";530,"Excadrill";531,"Audino";532,"Timburr";533,"Gurdurr";534,"Conkeldurr";535,"Tympole";536,"Palpitoad";537,"Seismitoad";538,"Throh";539,"Sawk";540,"Sewaddle";541,"Swadloon";542,"Leavanny";543,"Venipede";544,"Whirlipede";545,"Scolipede";546,"Cottonee";547,"Whimsicott";548,"Petilil";549,"Lilligant";550,"Basculin";551,"Sandile";552,"Krokorok";553,"Krookodile";554,"Darumaka";555,"Darmanitan";556,"Maractus";557,"Dwebble";558,"Crustle";559,"Scraggy";560,"Scrafty";561,"Sigilyph";562,"Yamask";563,"Cofagrigus";564,"Tirtouga";565,"Carracosta";566,"Archen";567,"Archeops";568,"Trubbish";569,"Garbodor";570,"Zorua";571,"Zoroark";572,"Minccino";573,"Cinccino";574,"Gothita";575,"Gothorita";576,"Gothitelle";577,"Solosis";578,"Duosion";579,"Reuniclus";580,"Ducklett";581,"Swanna";582,"Vanillite";583,"Vanillish";584,"Vanilluxe";585,"Deerling";586,"Sawsbuck";587,"Emolga";588,"Karrablast";589,"Escavalier";590,"Foongus";591,"Amoonguss";592,"Frillish";593,"Jellicent";594,"Alomomola";595,"Joltik";596,"Galvantula";597,"Ferroseed";598,"Ferrothorn";599,"Klink";600,"Klang";601,"Klinklang";602,"Tynamo";603,"Eelektrik";604,"Eelektross";605,"Elgyem";606,"Beheeyem";607,"Litwick";608,"Lampent";609,"Chandelure";610,"Axew";611,"Fraxure";612,"Haxorus";613,"Cubchoo";614,"Beartic";615,"Cryogonal";616,"Shelmet";617,"Accelgor";618,"Stunfisk";619,"Mienfoo";620,"Mienshao";621,"Druddigon";622,"Golett";623,"Golurk";624,"Pawniard";625,"Bisharp";626,"Bouffalant";627,"Rufflet";628,"Braviary";629,"Vullaby";630,"Mandibuzz";631,"Heatmor";632,"Durant";633,"Deino";634,"Zweilous";635,"Hydreigon";636,"Larvesta";637,"Volcarona";638,"Cobalion";639,"Terrakion";640,"Virizion";641,"Tornadus";642,"Thundurus";643,"Reshiram";644,"Zekrom";645,"Landorus";646,"Kyurem";647,"Keldeo";648,"Meloetta";649,"Genesect";650,"Chespin";651,"Quilladin";652,"Chesnaught";653,"Fennekin";654,"Braixen";655,"Delphox";656,"Froakie";657,"Frogadier";658,"Greninja";659,"Bunnelby";660,"Diggersby";661,"Fletchling";662,"Fletchinder";663,"Talonflame";664,"Scatterbug";665,"Spewpa";666,"Vivillon";667,"Litleo";668,"Pyroar";669,"Flabébé";670,"Floette";671,"Florges";672,"Skiddo";673,"Gogoat";674,"Pancham";675,"Pangoro";676,"Furfrou";677,"Espurr";678,"Meowstic";679,"Honedge";680,"Doublade";681,"Aegislash";682,"Spritzee";683,"Aromatisse";684,"Swirlix";685,"Slurpuff";686,"Inkay";687,"Malamar";688,"Binacle";689,"Barbaracle";690,"Skrelp";691,"Dragalge";692,"Clauncher";693,"Clawitzer";694,"Helioptile";695,"Heliolisk";696,"Tyrunt";697,"Tyrantrum";698,"Amaura";699,"Aurorus";700,"Sylveon";701,"Hawlucha";702,"Dedenne";703,"Carbink";704,"Goomy";705,"Sliggoo";706,"Goodra";707,"Klefki";708,"Phantump";709,"Trevenant";710,"Pumpkaboo";711,"Gourgeist";712,"Bergmite";713,"Avalugg";714,"Noibat";715,"Noivern";716,"Xerneas";717,"Yveltal";718,"Zygarde";719,"Diancie";720,"Hoopa";721,"Volcanion";722,"Rowlet";723,"Dartrix";724,"Decidueye";725,"Litten";726,"Torracat";727,"Incineroar";728,"Popplio";729,"Brionne";730,"Primarina";731,"Pikipek";732,"Trumbeak";733,"Toucannon";734,"Yungoos";735,"Gumshoos";736,"Grubbin";737,"Charjabug";738,"Vikavolt";739,"Crabrawler";740,"Crabominable";741,"Oricorio";742,"Cutiefly";743,"Ribombee";744,"Rockruff";745,"Lycanroc";746,"Wishiwashi";747,"Mareanie";748,"Toxapex";749,"Mudbray";750,"Mudsdale";751,"Dewpider";752,"Araquanid";753,"Fomantis";754,"Lurantis";755,"Morelull";756,"Shiinotic";757,"Salandit";758,"Salazzle";759,"Stufful";760,"Bewear";761,"Bounsweet";762,"Steenee";763,"Tsareena";764,"Comfey";765,"Oranguru";766,"Passimian";767,"Wimpod";768,"Golisopod";769,"Sandygast";770,"Palossand";771,"Pyukumuku";772,"Type: Null";773,"Silvally";774,"Minior";775,"Komala";776,"Turtonator";777,"Togedemaru";778,"Mimikyu";779,"Bruxish";780,"Drampa";781,"Dhelmise";782,"Jangmo-o";783,"Hakamo-o";784,"Kommo-o";785,"Tapu Koko";786,"Tapu Lele";787,"Tapu Bulu";788,"Tapu Fini";789,"Cosmog";790,"Cosmoem";791,"Solgaleo";792,"Lunala";793,"Nihilego";794,"Buzzwole";795,"Pheromosa";796,"Xurkitree";797,"Celesteela";798,"Kartana";799,"Guzzlord";800,"Necrozma";801,"Magearna";802,"Marshadow";803,"Poipole";804,"Naganadel";805,"Stakataka";806,"Blacephalon";807,"Zeraora";808,"Meltan";809,"Melmetal";810,"Grookey";811,"Thwackey";812,"Rillaboom";813,"Scorbunny";814,"Raboot";815,"Cinderace";816,"Sobble";817,"Drizzile";818,"Inteleon";819,"Skwovet";820,"Greedent";821,"Rookidee";822,"Corvisquire";823,"Corviknight";824,"Blipbug";825,"Dottler";826,"Orbeetle";827,"Nickit";828,"Thievul";829,"Gossifleur";830,"Eldegoss";831,"Wooloo";832,"Dubwool";833,"Chewtle";834,"Drednaw";835,"Yamper";836,"Boltund";837,"Rolycoly";838,"Carkol";839,"Coalossal";840,"Applin";841,"Flapple";842,"Appletun";843,"Silicobra";844,"Sandaconda";845,"Cramorant";846,"Arrokuda";847,"Barraskewda";848,"Toxel";849,"Toxtricity";850,"Sizzlipede";851,"Centiskorch";852,"Clobbopus";853,"Grapploct";854,"Sinistea";855,"Polteageist";856,"Hatenna";857,"Hattrem";858,"Hatterene";859,"Impidimp";860,"Morgrem";861,"Grimmsnarl";862,"Obstagoon";863,"Perrserker";864,"Cursola";865,"Sirfetch'd";866,"Mr. Rime";867,"Runerigus";868,"Milcery";869,"Alcremie";870,"Falinks";871,"Pincurchin";872,"Snom";873,"Frosmoth";874,"Stonjourner";875,"Eiscue";876,"Indeedee";877,"Morpeko";878,"Cufant";879,"Copperajah";880,"Dracozolt";881,"Arctozolt";882,"Dracovish";883,"Arctovish";884,"Duraludon";885,"Dreepy";886,"Drakloak";887,"Dragapult";888,"Zacian";889,"Zamazenta";890,"Eternatus";891,"Kubfu";892,"Urshifu";893,"Zarude";894,"Regieleki";895,"Regidrago";896,"Glastrier";897,"Spectrier";898,"Calyrex";899,"Wyrdeer";900,"Kleavor";901,"Ursaluna";902,"Basculegion";903,"Sneasler";904,"Overqwil";905,"Enamorus";906,"Sprigatito";907,"Floragato";908,"Meowscarada";909,"Fuecoco";910,"Crocalor";911,"Skeledirge";912,"Quaxly";913,"Quaxwell";914,"Quaquaval";915,"Lechonk";916,"Oinkologne";917,"Tarountula";918,"Spidops";919,"Nymble";920,"Lokix";921,"Pawmi";922,"Pawmo";923,"Pawmot";924,"Tandemaus";925,"Maushold";926,"Fidough";927,"Dachsbun";928,"Smoliv";929,"Dolliv";930,"Arboliva";931,"Squawkabilly";932,"Nacli";933,"Naclstack";934,"Garganacl";935,"Charcadet";936,"Armarouge";937,"Ceruledge";938,"Tadbulb";939,"Bellibolt";940,"Wattrel";941,"Kilowattrel";942,"Maschiff";943,"Mabosstiff";944,"Shroodle";945,"Grafaiai";946,"Bramblin";947,"Brambleghast";948,"Toedscool";949,"Toedscruel";950,"Klawf";951,"Capsakid";952,"Scovillain";953,"Rellor";954,"Rabsca";955,"Flittle";956,"Espathra";957,"Tinkatink";958,"Tinkatuff";959,"Tinkaton";960,"Wiglett";961,"Wugtrio";962,"Bombirdier";963,"Finizen";964,"Palafin";965,"Varoom";966,"Revavroom";967,"Cyclizar";968,"Orthworm";969,"Glimmet";970,"Glimmora";971,"Greavard";972,"Houndstone";973,"Flamigo";974,"Cetoddle";975,"Cetitan";976,"Veluza";977,"Dondozo";978,"Tatsugiri";979,"Annihilape";980,"Clodsire";981,"Farigiraf";982,"Dudunsparce";983,"Kingambit";984,"Great Tusk";985,"Scream Tail";986,"Brute Bonnet";987,"Flutter Mane";988,"Slither Wing";989,"Sandy Shocks";990,"Iron Treads";991,"Iron Bundle";992,"Iron Hands";993,"Iron Jugulis";994,"Iron Moth";995,"Iron Thorns";996,"Frigibax";997,"Arctibax";998,"Baxcalibur";999,"Gimmighoul";1000,"Gholdengo";1001,"Wo-Chien";1002,"Chien-Pao";1003,"Ting-Lu";1004,"Chi-Yu";1005,"Roaring Moon";1006,"Iron Valiant";1007,"Koraidon";1008,"Miraidon";1009,"Walking Wake";1010,"Iron Leaves";1011,"Dipplin";1012,"Poltchageist";1013,"Sinistcha";1014,"Okidogi";1015,"Munkidori";1016,"Fezandipiti";1017,"Ogerpon";1018,"Archaludon";1019,"Hydrapple";1020,"Gouging Fire";1021,"Raging Bolt";1022,"Iron Boulder";1023,"Iron Crown";1024,"Terapagos";1025,"Pecharunt"})</definedName>
    <definedName name="SUB_CIPHER_ARR">LAMBDA(original, in_key, out_key, CONCATENATE(ARRAYFORMULA(IFERROR(VLOOKUP(SPLIT_INTO_CELLS(original),{FLATTEN(in_key),FLATTEN(out_key)},2,FALSE),SPLIT_INTO_CELLS(original)))))</definedName>
    <definedName name="Q">LAMBDA(cell, CHAR(34)&amp;cell&amp;CHAR(34))</definedName>
    <definedName name="ROTATE_CW">LAMBDA(array, HFLIP(TR(array)))</definedName>
    <definedName name="BRACKET_SPLIT">LAMBDA(cell, IF(LEN(CELL)=0,"",IF(LEFT(CELL,1)&lt;&gt;"[",{LEFT(CELL,1),BRACKET_SPLIT(MID(CELL,2,LEN(CELL)-1))},{MID(CELL,2,FIND("]",CELL,1)-2),BRACKET_SPLIT(MID(CELL,FIND("]",CELL,1)+1,LEN(CELL)))})))</definedName>
    <definedName name="CYCLIC_ORDER">LAMBDA(range, from, to, IF(ISERROR(FILTER(FILTER(FROM,FROM&lt;&gt;""),COUNTIF(FILTER(TO,FROM&lt;&gt;""),FILTER(FROM,FROM&lt;&gt;""))=0)),PIECES(FILTER(RANGE,FROM&lt;&gt;""),FILTER(FROM,FROM&lt;&gt;""),FILTER(TO,FROM&lt;&gt;""),INDEX(FILTER(FROM,FROM&lt;&gt;""),1),ROWS(FILTER(FROM,FROM&lt;&gt;""))),PIECES(FILTER(RANGE,FROM&lt;&gt;""),FILTER(FROM,FROM&lt;&gt;""),FILTER(TO,FROM&lt;&gt;""),FILTER(FILTER(FROM,FROM&lt;&gt;""),COUNTIF(FILTER(TO,FROM&lt;&gt;""),FILTER(FROM,FROM&lt;&gt;""))=0),ROWS(FILTER(FROM,FROM&lt;&gt;"")))))</definedName>
    <definedName name="ROTATE_CCW">LAMBDA(array, TR(HFLIP(array)))</definedName>
    <definedName name="NUTRIQUERY">LAMBDA(query, LET(x,"https://nutrimatic.org/?q="&amp;
SUB(query,"&amp;","%26"),
{x;IMPORTXML(x,"//span")}))</definedName>
    <definedName name="CAESAR">LAMBDA(cell, shift, IF(CELL="","",IFS(REGEXMATCH(LEFT(CELL,1),"[A-Z]"),CHAR(65+MOD(CODE(LEFT(CELL,1))-65+SHIFT,26)),REGEXMATCH(LEFT(CELL,1),"[a-z]"),CHAR(97+MOD(CODE(LEFT(CELL,1))-97+SHIFT,26)),TRUE,LEFT(CELL,1))&amp;CAESAR(MID(CELL,2,LEN(CELL)-1),SHIFT)))</definedName>
  </definedNames>
  <calcPr/>
</workbook>
</file>

<file path=xl/sharedStrings.xml><?xml version="1.0" encoding="utf-8"?>
<sst xmlns="http://schemas.openxmlformats.org/spreadsheetml/2006/main" count="620" uniqueCount="427">
  <si>
    <t>#</t>
  </si>
  <si>
    <t>[INCLUDE CRITICAL HANDOVER INFO]</t>
  </si>
  <si>
    <t>Vertical grid</t>
  </si>
  <si>
    <t>In September 2022, Google added Named Functions! Here are some that are useful for puzzles.</t>
  </si>
  <si>
    <r>
      <rPr/>
      <t xml:space="preserve">You can copy these into your own solving sheet by choosing </t>
    </r>
    <r>
      <rPr>
        <b/>
      </rPr>
      <t>Data -&gt; Named functions -&gt; Import function</t>
    </r>
    <r>
      <rPr/>
      <t>, and then choosing this file.</t>
    </r>
  </si>
  <si>
    <t>(Thanks to Soni and Level 51 for writing some of these formulas!)</t>
  </si>
  <si>
    <t>Common puzzly one-cell formulas</t>
  </si>
  <si>
    <t>Name</t>
  </si>
  <si>
    <t>Explanation</t>
  </si>
  <si>
    <t>Example input</t>
  </si>
  <si>
    <t>Example output</t>
  </si>
  <si>
    <t>ANSWERIZE</t>
  </si>
  <si>
    <t>Capitalizes and removes non-alphanumeric characters.</t>
  </si>
  <si>
    <t>This Input is 2 Messy :(</t>
  </si>
  <si>
    <t>INDEX_INTO</t>
  </si>
  <si>
    <t>Indexes into a string, ignoring non-alphanumeric characters.</t>
  </si>
  <si>
    <t>Index into me!</t>
  </si>
  <si>
    <t>INDEX_INTO_SENTENCE</t>
  </si>
  <si>
    <t>Indexes into a sentence (by words), delimited by spaces.</t>
  </si>
  <si>
    <t>No, index into me instead!</t>
  </si>
  <si>
    <t>ALPHABETIZE</t>
  </si>
  <si>
    <t>Alphabetizes the letters in a string.</t>
  </si>
  <si>
    <t>Goths</t>
  </si>
  <si>
    <t>REVERSE</t>
  </si>
  <si>
    <t>Reverses a string.</t>
  </si>
  <si>
    <t>Desserts</t>
  </si>
  <si>
    <t>CAESAR</t>
  </si>
  <si>
    <t>Caesar-shifts a string.</t>
  </si>
  <si>
    <t>Nowhere</t>
  </si>
  <si>
    <t>CYCLE_STRING</t>
  </si>
  <si>
    <t>Moves some letters from a string to the end.</t>
  </si>
  <si>
    <t>Respect</t>
  </si>
  <si>
    <t>EIGENLETTER</t>
  </si>
  <si>
    <t>Given two strings, finds matching letters in matching positions.</t>
  </si>
  <si>
    <t>COMPILE</t>
  </si>
  <si>
    <t>FORMULA</t>
  </si>
  <si>
    <t>MISSING_LETTERS</t>
  </si>
  <si>
    <t>Lists letters missing from a string.</t>
  </si>
  <si>
    <t>The quick brown ox jumps over the lazy dog.</t>
  </si>
  <si>
    <t>ENUMERATE</t>
  </si>
  <si>
    <t>Converts a string to an enumeration (like those in a cryptic clue).</t>
  </si>
  <si>
    <t>Wouldn't it be cool if this was an enumeration?</t>
  </si>
  <si>
    <t>Note: this also works on _s, e.g.:</t>
  </si>
  <si>
    <t>_____ _____ ____ ___ __, _____ _____ ___ ___ ____</t>
  </si>
  <si>
    <t>NGRAMS</t>
  </si>
  <si>
    <t>Breaks a string into segments of a given length.</t>
  </si>
  <si>
    <t>Split this up.</t>
  </si>
  <si>
    <t>NGRAMS_ALL</t>
  </si>
  <si>
    <t>Shows all substrings of a string of a given length.</t>
  </si>
  <si>
    <t>This too!</t>
  </si>
  <si>
    <t>Formulas for codes and data sets</t>
  </si>
  <si>
    <t>A1Z26</t>
  </si>
  <si>
    <t>Converts letters to numbers...</t>
  </si>
  <si>
    <t>J</t>
  </si>
  <si>
    <t>...or vice versa!</t>
  </si>
  <si>
    <t>BRAILLE</t>
  </si>
  <si>
    <t>Converts letters to Braille Unicode.</t>
  </si>
  <si>
    <t>Braille this</t>
  </si>
  <si>
    <t>MORSE_TO</t>
  </si>
  <si>
    <t>Converts characters to Morse code.</t>
  </si>
  <si>
    <t>Morse me, please!</t>
  </si>
  <si>
    <t>MORSE_FROM</t>
  </si>
  <si>
    <t>Converts Morse code to normal characters.</t>
  </si>
  <si>
    <t>.-- .- .. - --..-- / .--. ..- - / -- . / -... .- -.-. -.- -.-.--</t>
  </si>
  <si>
    <t>PERIODIC</t>
  </si>
  <si>
    <t>Converts atomic numbers to chemical symbols.</t>
  </si>
  <si>
    <t>6 13 3 7 77 8 7</t>
  </si>
  <si>
    <t>ATOMIC</t>
  </si>
  <si>
    <t>Converts chemical symbols (separated by spaces) to atomic numbers.</t>
  </si>
  <si>
    <t>W H At</t>
  </si>
  <si>
    <t>SCRABBLE</t>
  </si>
  <si>
    <t>Computes Scrabble score.</t>
  </si>
  <si>
    <t>AMNESTY SCOOTER</t>
  </si>
  <si>
    <t>COUNTRY_FLAG</t>
  </si>
  <si>
    <t>Given a 2-letter country code, outputs its flag.</t>
  </si>
  <si>
    <t>KG</t>
  </si>
  <si>
    <t>COUNTRY_MAP</t>
  </si>
  <si>
    <t>Given a 2-letter country code, outputs its silhouette.</t>
  </si>
  <si>
    <t>NZ</t>
  </si>
  <si>
    <r>
      <rPr>
        <b/>
        <u/>
      </rPr>
      <t>Array Functions</t>
    </r>
    <r>
      <rPr>
        <b val="0"/>
        <u/>
      </rPr>
      <t xml:space="preserve"> </t>
    </r>
    <r>
      <rPr>
        <b val="0"/>
        <i/>
        <u/>
      </rPr>
      <t>(these take arrays as inputs or outputs, so they need a little more room.)</t>
    </r>
  </si>
  <si>
    <t>Example</t>
  </si>
  <si>
    <t>Output</t>
  </si>
  <si>
    <t>SPLIT_INTO_CELLS</t>
  </si>
  <si>
    <t>Splits a string into cells horizontally, one character per cell.</t>
  </si>
  <si>
    <t>Split this</t>
  </si>
  <si>
    <t>p</t>
  </si>
  <si>
    <t>l</t>
  </si>
  <si>
    <t>i</t>
  </si>
  <si>
    <t>t</t>
  </si>
  <si>
    <t xml:space="preserve"> </t>
  </si>
  <si>
    <t>h</t>
  </si>
  <si>
    <t>s</t>
  </si>
  <si>
    <t>DIAGONAL_LETTERS</t>
  </si>
  <si>
    <t>Diagonalizes an array of words (taking the nth letter of the nth word).</t>
  </si>
  <si>
    <t>Table below:</t>
  </si>
  <si>
    <t>Hungary</t>
  </si>
  <si>
    <t>Benin</t>
  </si>
  <si>
    <t>Moldova</t>
  </si>
  <si>
    <t>Iceland</t>
  </si>
  <si>
    <t>Sao Tome</t>
  </si>
  <si>
    <t>WOF</t>
  </si>
  <si>
    <t>Creates a Nutrimatic string from a (possibly incomplete) table of letters. Multiple letters are treated as separate possibilities.</t>
  </si>
  <si>
    <t>G</t>
  </si>
  <si>
    <t>AEIOU</t>
  </si>
  <si>
    <t>GH</t>
  </si>
  <si>
    <t>L</t>
  </si>
  <si>
    <t>DEF</t>
  </si>
  <si>
    <t>SORT_BY_LENGTH</t>
  </si>
  <si>
    <t>Sorts an array of strings by (ANSWERIZED) length.</t>
  </si>
  <si>
    <t>Input:</t>
  </si>
  <si>
    <t>Output:</t>
  </si>
  <si>
    <t>PENNY</t>
  </si>
  <si>
    <t>NICKEL</t>
  </si>
  <si>
    <t>DIME</t>
  </si>
  <si>
    <t>QUARTER</t>
  </si>
  <si>
    <t>NUMBERED_GRID</t>
  </si>
  <si>
    <t>Input two grids, the second of which contains numbers. Outputs a table of those numbers and the corresponding contents from the first grid.</t>
  </si>
  <si>
    <t>See table and output to the right.</t>
  </si>
  <si>
    <t>Inputs:</t>
  </si>
  <si>
    <t>Another use case:</t>
  </si>
  <si>
    <t>A</t>
  </si>
  <si>
    <t>B</t>
  </si>
  <si>
    <t>C</t>
  </si>
  <si>
    <t>O</t>
  </si>
  <si>
    <t>E</t>
  </si>
  <si>
    <t>U</t>
  </si>
  <si>
    <t>D</t>
  </si>
  <si>
    <t>F</t>
  </si>
  <si>
    <t>H</t>
  </si>
  <si>
    <t>I</t>
  </si>
  <si>
    <t>R</t>
  </si>
  <si>
    <t>In this case, the two "grids" are overlapping! →</t>
  </si>
  <si>
    <t>P</t>
  </si>
  <si>
    <t>Z</t>
  </si>
  <si>
    <t>T</t>
  </si>
  <si>
    <t>K</t>
  </si>
  <si>
    <t>S</t>
  </si>
  <si>
    <t>CYCLIC_ORDER</t>
  </si>
  <si>
    <t>Sorts a table of data (with two columns denoting consecutive entries) into a cyclical order.</t>
  </si>
  <si>
    <t>Country</t>
  </si>
  <si>
    <t>Capital</t>
  </si>
  <si>
    <t>Next in list</t>
  </si>
  <si>
    <t>Technical notes:</t>
  </si>
  <si>
    <t>Armenia</t>
  </si>
  <si>
    <t>Yerevan</t>
  </si>
  <si>
    <r>
      <rPr>
        <rFont val="Consolas"/>
      </rPr>
      <t xml:space="preserve">• </t>
    </r>
    <r>
      <rPr>
        <rFont val="Consolas"/>
        <b/>
      </rPr>
      <t>From</t>
    </r>
    <r>
      <rPr>
        <rFont val="Consolas"/>
      </rPr>
      <t xml:space="preserve"> should be filled.</t>
    </r>
  </si>
  <si>
    <t>Burkina Faso</t>
  </si>
  <si>
    <t>Ouagadougou</t>
  </si>
  <si>
    <t>Fiji</t>
  </si>
  <si>
    <r>
      <rPr>
        <rFont val="Consolas"/>
      </rPr>
      <t xml:space="preserve">• It's ok to have gaps in </t>
    </r>
    <r>
      <rPr>
        <rFont val="Consolas"/>
        <b/>
      </rPr>
      <t>To</t>
    </r>
    <r>
      <rPr>
        <rFont val="Consolas"/>
      </rPr>
      <t>.</t>
    </r>
  </si>
  <si>
    <t>Canada</t>
  </si>
  <si>
    <t>Ottawa</t>
  </si>
  <si>
    <r>
      <rPr>
        <rFont val="Consolas"/>
      </rPr>
      <t xml:space="preserve">• Outputs pieces if </t>
    </r>
    <r>
      <rPr>
        <rFont val="Consolas"/>
        <b/>
      </rPr>
      <t>To</t>
    </r>
    <r>
      <rPr>
        <rFont val="Consolas"/>
      </rPr>
      <t xml:space="preserve"> has gaps.</t>
    </r>
  </si>
  <si>
    <t>Djibouti</t>
  </si>
  <si>
    <t>Gabon</t>
  </si>
  <si>
    <t>• Breaks if the data contains &gt;1 loop.</t>
  </si>
  <si>
    <t>Estonia</t>
  </si>
  <si>
    <t>Tallinn</t>
  </si>
  <si>
    <t>Suva</t>
  </si>
  <si>
    <t>Libreville</t>
  </si>
  <si>
    <t>Budapest</t>
  </si>
  <si>
    <r>
      <rPr>
        <rFont val="Consolas"/>
      </rPr>
      <t xml:space="preserve">(Note: because we're missing 3 </t>
    </r>
    <r>
      <rPr>
        <rFont val="Consolas"/>
        <b/>
      </rPr>
      <t>To</t>
    </r>
    <r>
      <rPr>
        <rFont val="Consolas"/>
      </rPr>
      <t>s,</t>
    </r>
  </si>
  <si>
    <t>the output is in three pieces.)</t>
  </si>
  <si>
    <t/>
  </si>
  <si>
    <t>CROSSWORD_LIST</t>
  </si>
  <si>
    <t>Input a crossword-like grid of letters, output a list of all words in that grid of length 2 or more.</t>
  </si>
  <si>
    <t>(This lists all the acrosses in reading</t>
  </si>
  <si>
    <t>W</t>
  </si>
  <si>
    <t>AHA</t>
  </si>
  <si>
    <t>order, then all the downs in transposed</t>
  </si>
  <si>
    <t>GOOGLE</t>
  </si>
  <si>
    <t>reading order. So not quite the same as</t>
  </si>
  <si>
    <t>WHILE</t>
  </si>
  <si>
    <t>how crossword ordering works.)</t>
  </si>
  <si>
    <t>US</t>
  </si>
  <si>
    <t>POG</t>
  </si>
  <si>
    <t>WOWZA</t>
  </si>
  <si>
    <t>OOH</t>
  </si>
  <si>
    <t>GIT</t>
  </si>
  <si>
    <t>ALL</t>
  </si>
  <si>
    <t>SHEETS</t>
  </si>
  <si>
    <t>MAKE_CROSSWORD</t>
  </si>
  <si>
    <t>Given a grid of numbers and lists of across &amp; down numbers and words (some of which may be empty), generates a crossword grid.</t>
  </si>
  <si>
    <t>See example to the right.</t>
  </si>
  <si>
    <r>
      <rPr>
        <rFont val="Arial"/>
      </rPr>
      <t xml:space="preserve">Source: </t>
    </r>
    <r>
      <rPr>
        <rFont val="Arial"/>
        <color rgb="FF1155CC"/>
        <u/>
      </rPr>
      <t>https://www.7xwords.com/daily/02/02-02.html</t>
    </r>
  </si>
  <si>
    <t>Across</t>
  </si>
  <si>
    <t>[BL]OB</t>
  </si>
  <si>
    <t>Dollop</t>
  </si>
  <si>
    <t>Some notes:</t>
  </si>
  <si>
    <t>Some printers and computers, briefly</t>
  </si>
  <si>
    <t>• If there's a conflict between across and down entries, the two possibilities are separated by /.</t>
  </si>
  <si>
    <t>Plata's partner</t>
  </si>
  <si>
    <t>• You can make rebus squares by surrounding groups of letters with [].</t>
  </si>
  <si>
    <t>PARSLEY</t>
  </si>
  <si>
    <t>Key herb for pasta sauce</t>
  </si>
  <si>
    <t>• Emoji are represented as two characters in Google sheets, so you'll need to put them in []s.</t>
  </si>
  <si>
    <t>Humble pie?</t>
  </si>
  <si>
    <t>• The formula only creates letters. Bars and black squares must be copied separately with CTRL+SHIFT+V.</t>
  </si>
  <si>
    <t>Japanese food that the English dub of Pokémon localized as "jelly donuts"</t>
  </si>
  <si>
    <t>• You can make a diagramless this way! Just add the numbers as you go, and the letters will fill in.</t>
  </si>
  <si>
    <t>Neat drinks lack this</t>
  </si>
  <si>
    <t>• Currently times out at medium-size grids.</t>
  </si>
  <si>
    <t>EYE</t>
  </si>
  <si>
    <t>Tuber protuberance</t>
  </si>
  <si>
    <t>LES</t>
  </si>
  <si>
    <t>"___ Misérables"</t>
  </si>
  <si>
    <t>Down</t>
  </si>
  <si>
    <t>BL</t>
  </si>
  <si>
    <t>Guard who wears shin guards</t>
  </si>
  <si>
    <t>Stubborn as a mule</t>
  </si>
  <si>
    <t>A/R</t>
  </si>
  <si>
    <t>Y</t>
  </si>
  <si>
    <t>Itty bitty baby sock</t>
  </si>
  <si>
    <t>Necessity for cooking beignets</t>
  </si>
  <si>
    <t>N</t>
  </si>
  <si>
    <t>PRANCE</t>
  </si>
  <si>
    <t>Move about like a particular reindeer</t>
  </si>
  <si>
    <t>"Ramy" or "The Queen's Gambit", for example</t>
  </si>
  <si>
    <t>"I bid thee farewell", online</t>
  </si>
  <si>
    <t>COMPONENT_COUNT</t>
  </si>
  <si>
    <t>Counts the number of orthogonally connected components in a grid whose cells match a particular string.</t>
  </si>
  <si>
    <t>Outputs:</t>
  </si>
  <si>
    <t>(Mainly useful for shading logic puzzles.)</t>
  </si>
  <si>
    <t>ALPHABET</t>
  </si>
  <si>
    <t>Prints the alphabet as one column.</t>
  </si>
  <si>
    <t>Usage is just =ALPHABET() but I don't feel like fitting it on this page.</t>
  </si>
  <si>
    <t>CUSTOM</t>
  </si>
  <si>
    <t xml:space="preserve">NOTES: </t>
  </si>
  <si>
    <t>To escape quotes, use them twice. The string a"b"c is written as "a""b""c"</t>
  </si>
  <si>
    <t>REVERSE(string): Reverses string</t>
  </si>
  <si>
    <t>Check out the Puzzle Tools tab: most important is prob quick add tabs</t>
  </si>
  <si>
    <t>REVERSE("asdj823")</t>
  </si>
  <si>
    <t>a</t>
  </si>
  <si>
    <t>b</t>
  </si>
  <si>
    <t>d</t>
  </si>
  <si>
    <t>c</t>
  </si>
  <si>
    <t>MATCH2D(search_key, range, opt_count): matches input on 2d range, gives nth row,col</t>
  </si>
  <si>
    <t>f</t>
  </si>
  <si>
    <t>e</t>
  </si>
  <si>
    <t>g</t>
  </si>
  <si>
    <t>MATCH2d("d",H4:K7,2)</t>
  </si>
  <si>
    <t>r</t>
  </si>
  <si>
    <t>ANAGRAM(text, maxResults), gives anagrams from wordsmith</t>
  </si>
  <si>
    <t>ANAGRAM("Picturegame",7)</t>
  </si>
  <si>
    <t>Gametic Pure</t>
  </si>
  <si>
    <t>Grace Impute</t>
  </si>
  <si>
    <t>Teacup Grime</t>
  </si>
  <si>
    <t>Magic Repute</t>
  </si>
  <si>
    <t>Emigrate Cup</t>
  </si>
  <si>
    <t>Magpie Cuter</t>
  </si>
  <si>
    <t>NUTRIMATIC(input, maxResults), gives answers from nutri</t>
  </si>
  <si>
    <t>NUTRIMATIC("""eA* cA*""", 7)</t>
  </si>
  <si>
    <t>east coast</t>
  </si>
  <si>
    <t>episcopal church</t>
  </si>
  <si>
    <t>european championships</t>
  </si>
  <si>
    <t>executive committee</t>
  </si>
  <si>
    <t>european cup</t>
  </si>
  <si>
    <t>european championship</t>
  </si>
  <si>
    <t>SPLIT_INTO_CELLS(input, delim), splits word into cells (blank ok)</t>
  </si>
  <si>
    <t>SPLIT_INTO_CELLS("a1b2c3d","")</t>
  </si>
  <si>
    <t>1</t>
  </si>
  <si>
    <t>2</t>
  </si>
  <si>
    <t>3</t>
  </si>
  <si>
    <t>INDEX_IN_ALPHABET(index), A1z26</t>
  </si>
  <si>
    <t>Note: Doable without custom functions using =CHAR(index+64)</t>
  </si>
  <si>
    <t>INDEX_IN_ALPHABET(3)</t>
  </si>
  <si>
    <t>INDEX_IN_STRING(string, index), index from string</t>
  </si>
  <si>
    <t>Note: Doable without custom functions using =MID(string,index,1)</t>
  </si>
  <si>
    <t>INDEX_IN_STRING("qwertyuiop",7)</t>
  </si>
  <si>
    <t>ANSWERIZE(string,spacesOnly), uppercases + strips non-underscore non-alphanumeric chars. spacesOnly only strips whitespace</t>
  </si>
  <si>
    <t>ANSWERIZE("aNsWeR..F?SD9 from __ The Answer")</t>
  </si>
  <si>
    <t>BINARY_TO_NUMBER(str): converts binary string to decimal number. For binary numbers use bin2dec</t>
  </si>
  <si>
    <t>TERNARY_TO_NUMBER is similar</t>
  </si>
  <si>
    <t>BINARY_TO_NUMBER("1010")</t>
  </si>
  <si>
    <t>TO_MORSE(in,delim): converts input to morse code with a delimiter</t>
  </si>
  <si>
    <t>TO_MORSE("SOS1234567890"," and ")</t>
  </si>
  <si>
    <t>FROM_MORSE(input,dot,dash): converts morse input (given dot and dash chars)</t>
  </si>
  <si>
    <t>FROM_MORSE("01111 000 111 00011 11100","0","1")</t>
  </si>
  <si>
    <t>MURDER(clue, constraint): solve clues using wordplays</t>
  </si>
  <si>
    <t>MURDER("Between xi and eta")</t>
  </si>
  <si>
    <t>NON-CUSTOM</t>
  </si>
  <si>
    <t>CODE([capital letter])-64 for a1z26</t>
  </si>
  <si>
    <t>TRANSPOSE(array) transposes, since some fns like rows and other columns</t>
  </si>
  <si>
    <t>USE FILTERS!!! Very helpful to sort! Data-&gt;Create a Filter</t>
  </si>
  <si>
    <t>Basics: +, -, *, /, =, &lt;&gt;, MOD, POW, SQRT, MIN, MAX, IF, AND, OR, NOT</t>
  </si>
  <si>
    <t>String handling: JOIN, SPLIT, REPT, LEFT, RIGHT, MID, REGEXEXTRACT</t>
  </si>
  <si>
    <t>Of note: To split string into cols one char at a time without custom functions</t>
  </si>
  <si>
    <t>Type handling: VALUE, TEXT, ISBLANK, ISERROR, IFERROR</t>
  </si>
  <si>
    <t>you can use =REGEXEXTRACT(str,REPT("(.)",LEN(str)))</t>
  </si>
  <si>
    <t>Array handling: $, FILTER, UNIQUE, {}, ARRAYFORMULA, TRANSPOSE, MATCH</t>
  </si>
  <si>
    <t>SORT()</t>
  </si>
  <si>
    <t>IMPORTANT: For match, vlookup, etc it's REALLYIMPORTANT to set is_sorted to false</t>
  </si>
  <si>
    <t>HELPFUL LINKS</t>
  </si>
  <si>
    <t>DESCRIPTION</t>
  </si>
  <si>
    <t>COPYPASTABLE SYMBOLS</t>
  </si>
  <si>
    <t>Google Sheets Puzzle Tricks - Google Kalkylark</t>
  </si>
  <si>
    <t>All Named functions described + extra tricks</t>
  </si>
  <si>
    <t>Tables of Things - Google Kalkylark</t>
  </si>
  <si>
    <t>Useful copy-able tables</t>
  </si>
  <si>
    <t>♟</t>
  </si>
  <si>
    <t>♜</t>
  </si>
  <si>
    <t>♞</t>
  </si>
  <si>
    <t>♝</t>
  </si>
  <si>
    <t>♛</t>
  </si>
  <si>
    <t>♚</t>
  </si>
  <si>
    <t>↖</t>
  </si>
  <si>
    <t>↑</t>
  </si>
  <si>
    <t>↗</t>
  </si>
  <si>
    <t>╱</t>
  </si>
  <si>
    <t>♙</t>
  </si>
  <si>
    <t>♖</t>
  </si>
  <si>
    <t>♘</t>
  </si>
  <si>
    <t>♗</t>
  </si>
  <si>
    <t>♕</t>
  </si>
  <si>
    <t>♔</t>
  </si>
  <si>
    <t>←</t>
  </si>
  <si>
    <t>✪</t>
  </si>
  <si>
    <t>→</t>
  </si>
  <si>
    <t>✓</t>
  </si>
  <si>
    <t>https://www.puzzlehunt.net/tools</t>
  </si>
  <si>
    <t>List of resources</t>
  </si>
  <si>
    <t>↙</t>
  </si>
  <si>
    <t>↓</t>
  </si>
  <si>
    <t>↘</t>
  </si>
  <si>
    <t>☀</t>
  </si>
  <si>
    <t>https://nutrimatic.org/</t>
  </si>
  <si>
    <t>Anagrams, Pattern Matching</t>
  </si>
  <si>
    <t>https://www.quinapalus.com/qat.html</t>
  </si>
  <si>
    <t>Pattern Finding/Matching</t>
  </si>
  <si>
    <t>Ⓐ</t>
  </si>
  <si>
    <t>Ⓑ</t>
  </si>
  <si>
    <t>Ⓒ</t>
  </si>
  <si>
    <t>Ⓓ</t>
  </si>
  <si>
    <t>Ⓔ</t>
  </si>
  <si>
    <t>Ⓕ</t>
  </si>
  <si>
    <t>Ⓖ</t>
  </si>
  <si>
    <t>Ⓗ</t>
  </si>
  <si>
    <t>Ⓘ</t>
  </si>
  <si>
    <t>Ⓙ</t>
  </si>
  <si>
    <t>Ⓚ</t>
  </si>
  <si>
    <t>Ⓛ</t>
  </si>
  <si>
    <t>︎Ⓜ︎</t>
  </si>
  <si>
    <t>https://www.onelook.com/</t>
  </si>
  <si>
    <t>Dictionary searching</t>
  </si>
  <si>
    <t>Ⓝ</t>
  </si>
  <si>
    <t>Ⓞ</t>
  </si>
  <si>
    <t>Ⓟ</t>
  </si>
  <si>
    <t>Ⓠ</t>
  </si>
  <si>
    <t>Ⓡ</t>
  </si>
  <si>
    <t>Ⓢ</t>
  </si>
  <si>
    <t>Ⓣ</t>
  </si>
  <si>
    <t>Ⓤ</t>
  </si>
  <si>
    <t>Ⓥ</t>
  </si>
  <si>
    <t>Ⓦ</t>
  </si>
  <si>
    <t>Ⓧ</t>
  </si>
  <si>
    <t>Ⓨ</t>
  </si>
  <si>
    <t>Ⓩ</t>
  </si>
  <si>
    <t>⓪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</si>
  <si>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</si>
  <si>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</si>
  <si>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</si>
  <si>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</si>
  <si>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</si>
  <si>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</si>
  <si>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</si>
  <si>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</si>
  <si>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</si>
  <si>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</si>
  <si>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https://www.dcode.fr/en</t>
  </si>
  <si>
    <t>Ciphers</t>
  </si>
  <si>
    <t>https://www.quipqiup.com/</t>
  </si>
  <si>
    <t>Cryptograms</t>
  </si>
  <si>
    <t>ɪ</t>
  </si>
  <si>
    <t>ɚ</t>
  </si>
  <si>
    <t>ʊ</t>
  </si>
  <si>
    <t>θ</t>
  </si>
  <si>
    <t>ð</t>
  </si>
  <si>
    <t>ŋ</t>
  </si>
  <si>
    <t>♠</t>
  </si>
  <si>
    <t>♥</t>
  </si>
  <si>
    <t>♣</t>
  </si>
  <si>
    <t>♦</t>
  </si>
  <si>
    <t>https://github.com/dessant/search-by-image</t>
  </si>
  <si>
    <t>Reverse Image Search</t>
  </si>
  <si>
    <t>ɛ</t>
  </si>
  <si>
    <t>ə</t>
  </si>
  <si>
    <t>ʌ</t>
  </si>
  <si>
    <t>ʃ</t>
  </si>
  <si>
    <t>ʒ</t>
  </si>
  <si>
    <t>ʔ</t>
  </si>
  <si>
    <t>♤</t>
  </si>
  <si>
    <t>♡</t>
  </si>
  <si>
    <t>♧</t>
  </si>
  <si>
    <t>♢</t>
  </si>
  <si>
    <t>https://www.noq.solutions/</t>
  </si>
  <si>
    <t>Logic Puzzle Solver</t>
  </si>
  <si>
    <t>æ</t>
  </si>
  <si>
    <t>ɑ</t>
  </si>
  <si>
    <t>ɔ</t>
  </si>
  <si>
    <t>ʧ</t>
  </si>
  <si>
    <t>ʤ</t>
  </si>
  <si>
    <t>https://flagid.org/</t>
  </si>
  <si>
    <t>Flag Identification</t>
  </si>
  <si>
    <t>https://shapecatcher.com/</t>
  </si>
  <si>
    <t>Search Unicode characters by drawing</t>
  </si>
  <si>
    <t>⋯</t>
  </si>
  <si>
    <t>⋮</t>
  </si>
  <si>
    <t>⋰</t>
  </si>
  <si>
    <t>⋱</t>
  </si>
  <si>
    <t>↔</t>
  </si>
  <si>
    <t>↕</t>
  </si>
  <si>
    <t>THINGS TO TRY</t>
  </si>
  <si>
    <t>- Read first letters!</t>
  </si>
  <si>
    <t>SHORTCUTS</t>
  </si>
  <si>
    <t>- Drink water.</t>
  </si>
  <si>
    <r>
      <rPr>
        <rFont val="Arial"/>
        <color/>
      </rPr>
      <t xml:space="preserve">Double click onto a cell and you can </t>
    </r>
    <r>
      <rPr>
        <rFont val="Arial"/>
        <b/>
        <color/>
      </rPr>
      <t>partially</t>
    </r>
  </si>
  <si>
    <t>format cells.
You can also use Ctrl+Enter to make a new line</t>
  </si>
  <si>
    <t>Alt+Shift:</t>
  </si>
  <si>
    <t>Top border</t>
  </si>
  <si>
    <t>Right border</t>
  </si>
  <si>
    <t>Bottom border</t>
  </si>
  <si>
    <t>Left border</t>
  </si>
  <si>
    <t>Strikethrough</t>
  </si>
  <si>
    <t>Remove all borders</t>
  </si>
  <si>
    <t>Outer borders</t>
  </si>
  <si>
    <t>Ctrl+Shift+V: paste text only, keep formatting</t>
  </si>
  <si>
    <t>Ctrl+Alt+V: paste formatting only, keep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</si>
</sst>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</font>
    <font>
      <b/>
      <color/>
      <name val="Arial"/>
    </font>
    <font>
      <name val="Roboto Mono"/>
    </font>
    <font>
      <color/>
      <name val="Arial"/>
    </font>
    <font/>
    <font>
      <name val="Consolas"/>
    </font>
    <font>
      <i/>
    </font>
    <font>
      <b/>
      <u/>
    </font>
    <font>
      <b/>
    </font>
    <font>
      <b/>
      <u/>
    </font>
    <font>
      <b/>
      <u/>
    </font>
    <font>
      <b/>
      <name val="Consolas"/>
    </font>
    <font>
      <color rgb="FF000000"/>
      <name val="Consolas"/>
    </font>
    <font>
      <name val="Arial"/>
    </font>
    <font>
      <u/>
      <color rgb="FF0000FF"/>
      <name val="Arial"/>
    </font>
    <font>
      <b/>
      <name val="Arial"/>
    </font>
    <font>
      <sz val="8.0"/>
      <name val="Arial"/>
    </font>
    <font>
      <sz val="11.0"/>
    </font>
    <font>
      <u/>
      <color rgb="FF0000FF"/>
      <name val="Arial"/>
    </font>
    <font>
      <sz val="10.0"/>
      <color/>
      <name val="Arial"/>
    </font>
    <font>
      <color rgb="FF1155CC"/>
      <name val="Arial"/>
    </font>
    <font>
      <u/>
      <color rgb="FF1155CC"/>
      <name val="Arial"/>
    </font>
    <font>
      <sz val="10.0"/>
      <name val="Arial"/>
    </font>
    <font>
      <u/>
      <sz val="10.0"/>
      <color rgb="FF0000FF"/>
      <name val="Arial"/>
    </font>
    <font>
      <sz val="10.0"/>
      <color rgb="FF1155CC"/>
      <name val="Arial"/>
    </font>
    <font>
      <u/>
      <sz val="10.0"/>
      <color rgb="FF1155CC"/>
      <name val="Arial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13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vertical="center"/>
    </xf>
    <xf borderId="0" fillId="3" fontId="1" numFmtId="0" xfId="0" applyFill="1" applyFont="1"/>
    <xf borderId="0" fillId="3" fontId="3" numFmtId="0" xfId="0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readingOrder="0" vertical="center"/>
    </xf>
    <xf borderId="0" fillId="4" fontId="7" numFmtId="0" xfId="0" applyAlignment="1" applyFill="1" applyFont="1">
      <alignment readingOrder="0" vertical="center"/>
    </xf>
    <xf borderId="0" fillId="4" fontId="8" numFmtId="0" xfId="0" applyAlignment="1" applyFont="1">
      <alignment readingOrder="0" vertical="center"/>
    </xf>
    <xf borderId="0" fillId="4" fontId="4" numFmtId="0" xfId="0" applyAlignment="1" applyFont="1">
      <alignment vertical="center"/>
    </xf>
    <xf borderId="0" fillId="4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shrinkToFit="0" vertical="center" wrapText="1"/>
    </xf>
    <xf borderId="0" fillId="5" fontId="9" numFmtId="0" xfId="0" applyAlignment="1" applyFill="1" applyFont="1">
      <alignment readingOrder="0" vertical="center"/>
    </xf>
    <xf borderId="0" fillId="5" fontId="8" numFmtId="0" xfId="0" applyAlignment="1" applyFont="1">
      <alignment readingOrder="0" vertical="center"/>
    </xf>
    <xf borderId="0" fillId="5" fontId="4" numFmtId="0" xfId="0" applyAlignment="1" applyFont="1">
      <alignment vertical="center"/>
    </xf>
    <xf borderId="0" fillId="5" fontId="5" numFmtId="0" xfId="0" applyAlignment="1" applyFont="1">
      <alignment horizontal="center" vertical="center"/>
    </xf>
    <xf borderId="0" fillId="5" fontId="8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6" fontId="5" numFmtId="0" xfId="0" applyAlignment="1" applyFill="1" applyFont="1">
      <alignment horizontal="right" readingOrder="0" vertical="center"/>
    </xf>
    <xf borderId="0" fillId="0" fontId="5" numFmtId="0" xfId="0" applyAlignment="1" applyFont="1">
      <alignment horizontal="right" vertical="center"/>
    </xf>
    <xf borderId="0" fillId="6" fontId="5" numFmtId="0" xfId="0" applyAlignment="1" applyFont="1">
      <alignment readingOrder="0" vertical="center"/>
    </xf>
    <xf borderId="0" fillId="6" fontId="5" numFmtId="0" xfId="0" applyAlignment="1" applyFont="1">
      <alignment shrinkToFit="0" vertical="center" wrapText="1"/>
    </xf>
    <xf borderId="0" fillId="6" fontId="5" numFmtId="0" xfId="0" applyAlignment="1" applyFont="1">
      <alignment vertical="center"/>
    </xf>
    <xf borderId="0" fillId="7" fontId="10" numFmtId="0" xfId="0" applyAlignment="1" applyFill="1" applyFont="1">
      <alignment readingOrder="0" vertical="center"/>
    </xf>
    <xf borderId="0" fillId="7" fontId="8" numFmtId="0" xfId="0" applyAlignment="1" applyFont="1">
      <alignment readingOrder="0" vertical="center"/>
    </xf>
    <xf borderId="0" fillId="7" fontId="4" numFmtId="0" xfId="0" applyAlignment="1" applyFont="1">
      <alignment vertical="center"/>
    </xf>
    <xf borderId="0" fillId="7" fontId="5" numFmtId="0" xfId="0" applyAlignment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1" fillId="6" fontId="5" numFmtId="0" xfId="0" applyAlignment="1" applyBorder="1" applyFont="1">
      <alignment readingOrder="0" vertical="center"/>
    </xf>
    <xf borderId="1" fillId="8" fontId="5" numFmtId="0" xfId="0" applyAlignment="1" applyBorder="1" applyFill="1" applyFont="1">
      <alignment vertical="center"/>
    </xf>
    <xf borderId="1" fillId="8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9" fontId="5" numFmtId="0" xfId="0" applyAlignment="1" applyFill="1" applyFont="1">
      <alignment readingOrder="0" vertical="center"/>
    </xf>
    <xf borderId="0" fillId="8" fontId="5" numFmtId="0" xfId="0" applyAlignment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0" fillId="10" fontId="5" numFmtId="0" xfId="0" applyAlignment="1" applyFill="1" applyFont="1">
      <alignment readingOrder="0" vertical="center"/>
    </xf>
    <xf borderId="0" fillId="10" fontId="5" numFmtId="0" xfId="0" applyAlignment="1" applyFont="1">
      <alignment vertical="center"/>
    </xf>
    <xf borderId="2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readingOrder="0" vertical="center"/>
    </xf>
    <xf borderId="2" fillId="0" fontId="5" numFmtId="0" xfId="0" applyAlignment="1" applyBorder="1" applyFont="1">
      <alignment vertical="center"/>
    </xf>
    <xf borderId="2" fillId="0" fontId="11" numFmtId="0" xfId="0" applyAlignment="1" applyBorder="1" applyFont="1">
      <alignment horizontal="left" readingOrder="0" vertical="bottom"/>
    </xf>
    <xf borderId="2" fillId="0" fontId="5" numFmtId="0" xfId="0" applyAlignment="1" applyBorder="1" applyFont="1">
      <alignment horizontal="center" vertical="center"/>
    </xf>
    <xf borderId="0" fillId="6" fontId="5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vertical="bottom"/>
    </xf>
    <xf borderId="1" fillId="6" fontId="5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left" readingOrder="0" vertical="bottom"/>
    </xf>
    <xf borderId="3" fillId="6" fontId="5" numFmtId="0" xfId="0" applyAlignment="1" applyBorder="1" applyFont="1">
      <alignment horizontal="center" readingOrder="0" vertical="center"/>
    </xf>
    <xf borderId="2" fillId="6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0" fillId="8" fontId="5" numFmtId="0" xfId="0" applyAlignment="1" applyFont="1">
      <alignment horizontal="center" vertical="center"/>
    </xf>
    <xf borderId="5" fillId="6" fontId="5" numFmtId="0" xfId="0" applyAlignment="1" applyBorder="1" applyFont="1">
      <alignment horizontal="center" readingOrder="0" vertical="center"/>
    </xf>
    <xf borderId="6" fillId="6" fontId="5" numFmtId="0" xfId="0" applyAlignment="1" applyBorder="1" applyFont="1">
      <alignment horizontal="center" readingOrder="0" vertical="center"/>
    </xf>
    <xf borderId="7" fillId="6" fontId="5" numFmtId="0" xfId="0" applyAlignment="1" applyBorder="1" applyFont="1">
      <alignment horizontal="center" readingOrder="0" vertical="center"/>
    </xf>
    <xf borderId="8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9" fillId="6" fontId="5" numFmtId="0" xfId="0" applyAlignment="1" applyBorder="1" applyFont="1">
      <alignment horizontal="center" readingOrder="0" vertical="center"/>
    </xf>
    <xf borderId="8" fillId="6" fontId="5" numFmtId="0" xfId="0" applyAlignment="1" applyBorder="1" applyFont="1">
      <alignment horizontal="center" vertical="center"/>
    </xf>
    <xf borderId="0" fillId="6" fontId="5" numFmtId="0" xfId="0" applyAlignment="1" applyFont="1">
      <alignment horizontal="center" vertical="center"/>
    </xf>
    <xf borderId="10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1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1" fillId="6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right" readingOrder="0" vertical="center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6" fontId="11" numFmtId="0" xfId="0" applyAlignment="1" applyFont="1">
      <alignment readingOrder="0" vertical="bottom"/>
    </xf>
    <xf borderId="0" fillId="6" fontId="11" numFmtId="0" xfId="0" applyAlignment="1" applyFont="1">
      <alignment vertical="bottom"/>
    </xf>
    <xf borderId="0" fillId="0" fontId="5" numFmtId="0" xfId="0" applyFont="1"/>
    <xf borderId="0" fillId="9" fontId="12" numFmtId="0" xfId="0" applyAlignment="1" applyFont="1">
      <alignment horizontal="left" readingOrder="0"/>
    </xf>
    <xf borderId="0" fillId="6" fontId="5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11" numFmtId="0" xfId="0" applyAlignment="1" applyFont="1">
      <alignment readingOrder="0" vertical="center"/>
    </xf>
    <xf borderId="0" fillId="8" fontId="5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left" readingOrder="0" shrinkToFit="0" vertical="center" wrapText="1"/>
    </xf>
    <xf borderId="1" fillId="8" fontId="13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3" fillId="10" fontId="5" numFmtId="0" xfId="0" applyAlignment="1" applyBorder="1" applyFont="1">
      <alignment horizontal="center" readingOrder="0" vertical="center"/>
    </xf>
    <xf borderId="2" fillId="10" fontId="5" numFmtId="0" xfId="0" applyAlignment="1" applyBorder="1" applyFont="1">
      <alignment horizontal="center" vertical="center"/>
    </xf>
    <xf borderId="2" fillId="10" fontId="5" numFmtId="0" xfId="0" applyAlignment="1" applyBorder="1" applyFont="1">
      <alignment horizontal="center" readingOrder="0" vertical="center"/>
    </xf>
    <xf borderId="4" fillId="10" fontId="5" numFmtId="0" xfId="0" applyAlignment="1" applyBorder="1" applyFont="1">
      <alignment horizontal="center" vertical="center"/>
    </xf>
    <xf borderId="0" fillId="8" fontId="5" numFmtId="0" xfId="0" applyAlignment="1" applyFont="1">
      <alignment horizontal="left" vertical="center"/>
    </xf>
    <xf borderId="8" fillId="10" fontId="5" numFmtId="0" xfId="0" applyAlignment="1" applyBorder="1" applyFont="1">
      <alignment horizontal="center" readingOrder="0" vertical="center"/>
    </xf>
    <xf borderId="0" fillId="10" fontId="5" numFmtId="0" xfId="0" applyAlignment="1" applyFont="1">
      <alignment horizontal="center" readingOrder="0" vertical="center"/>
    </xf>
    <xf borderId="9" fillId="10" fontId="5" numFmtId="0" xfId="0" applyAlignment="1" applyBorder="1" applyFont="1">
      <alignment horizontal="center" readingOrder="0" vertical="center"/>
    </xf>
    <xf borderId="8" fillId="10" fontId="5" numFmtId="0" xfId="0" applyAlignment="1" applyBorder="1" applyFont="1">
      <alignment horizontal="center" vertical="center"/>
    </xf>
    <xf borderId="0" fillId="10" fontId="5" numFmtId="0" xfId="0" applyAlignment="1" applyFont="1">
      <alignment horizontal="center" vertical="center"/>
    </xf>
    <xf borderId="9" fillId="10" fontId="5" numFmtId="0" xfId="0" applyAlignment="1" applyBorder="1" applyFont="1">
      <alignment horizontal="center" vertical="center"/>
    </xf>
    <xf borderId="10" fillId="10" fontId="5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center" readingOrder="0" vertical="center"/>
    </xf>
    <xf borderId="1" fillId="10" fontId="5" numFmtId="0" xfId="0" applyAlignment="1" applyBorder="1" applyFont="1">
      <alignment horizontal="center" vertical="center"/>
    </xf>
    <xf borderId="11" fillId="10" fontId="5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left" vertical="center"/>
    </xf>
    <xf borderId="1" fillId="0" fontId="13" numFmtId="0" xfId="0" applyAlignment="1" applyBorder="1" applyFont="1">
      <alignment vertical="bottom"/>
    </xf>
    <xf borderId="2" fillId="0" fontId="14" numFmtId="0" xfId="0" applyAlignment="1" applyBorder="1" applyFont="1">
      <alignment horizontal="right" readingOrder="0" vertical="center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3" fillId="11" fontId="16" numFmtId="0" xfId="0" applyAlignment="1" applyBorder="1" applyFill="1" applyFont="1">
      <alignment horizontal="left" vertical="top"/>
    </xf>
    <xf borderId="0" fillId="11" fontId="16" numFmtId="0" xfId="0" applyAlignment="1" applyFont="1">
      <alignment horizontal="left" vertical="top"/>
    </xf>
    <xf borderId="0" fillId="9" fontId="16" numFmtId="0" xfId="0" applyAlignment="1" applyFont="1">
      <alignment horizontal="left" vertical="top"/>
    </xf>
    <xf borderId="9" fillId="9" fontId="16" numFmtId="0" xfId="0" applyAlignment="1" applyBorder="1" applyFont="1">
      <alignment horizontal="left" vertical="top"/>
    </xf>
    <xf borderId="0" fillId="0" fontId="13" numFmtId="0" xfId="0" applyAlignment="1" applyFont="1">
      <alignment horizontal="right" vertical="bottom"/>
    </xf>
    <xf borderId="8" fillId="9" fontId="16" numFmtId="0" xfId="0" applyAlignment="1" applyBorder="1" applyFont="1">
      <alignment horizontal="left" vertical="top"/>
    </xf>
    <xf borderId="0" fillId="0" fontId="13" numFmtId="0" xfId="0" applyAlignment="1" applyFont="1">
      <alignment shrinkToFit="0" vertical="bottom" wrapText="0"/>
    </xf>
    <xf borderId="10" fillId="9" fontId="16" numFmtId="0" xfId="0" applyAlignment="1" applyBorder="1" applyFont="1">
      <alignment horizontal="left" vertical="top"/>
    </xf>
    <xf borderId="1" fillId="9" fontId="16" numFmtId="0" xfId="0" applyAlignment="1" applyBorder="1" applyFont="1">
      <alignment horizontal="left" vertical="top"/>
    </xf>
    <xf borderId="1" fillId="11" fontId="16" numFmtId="0" xfId="0" applyAlignment="1" applyBorder="1" applyFont="1">
      <alignment horizontal="left" vertical="top"/>
    </xf>
    <xf borderId="11" fillId="11" fontId="16" numFmtId="0" xfId="0" applyAlignment="1" applyBorder="1" applyFont="1">
      <alignment horizontal="left" vertical="top"/>
    </xf>
    <xf borderId="1" fillId="0" fontId="15" numFmtId="0" xfId="0" applyAlignment="1" applyBorder="1" applyFont="1">
      <alignment shrinkToFit="0" vertical="bottom" wrapText="0"/>
    </xf>
    <xf borderId="8" fillId="11" fontId="16" numFmtId="0" xfId="0" applyAlignment="1" applyBorder="1" applyFont="1">
      <alignment horizontal="center" vertical="center"/>
    </xf>
    <xf borderId="0" fillId="11" fontId="16" numFmtId="0" xfId="0" applyAlignment="1" applyFont="1">
      <alignment horizontal="center" vertical="center"/>
    </xf>
    <xf borderId="0" fillId="9" fontId="16" numFmtId="0" xfId="0" applyAlignment="1" applyFont="1">
      <alignment horizontal="center" vertical="center"/>
    </xf>
    <xf borderId="9" fillId="9" fontId="16" numFmtId="0" xfId="0" applyAlignment="1" applyBorder="1" applyFont="1">
      <alignment horizontal="center" vertical="center"/>
    </xf>
    <xf borderId="0" fillId="0" fontId="13" numFmtId="0" xfId="0" applyAlignment="1" applyFont="1">
      <alignment readingOrder="0" shrinkToFit="0" vertical="bottom" wrapText="0"/>
    </xf>
    <xf borderId="8" fillId="9" fontId="16" numFmtId="0" xfId="0" applyAlignment="1" applyBorder="1" applyFont="1">
      <alignment horizontal="center" vertical="center"/>
    </xf>
    <xf borderId="10" fillId="9" fontId="16" numFmtId="0" xfId="0" applyAlignment="1" applyBorder="1" applyFont="1">
      <alignment horizontal="center" vertical="center"/>
    </xf>
    <xf borderId="1" fillId="9" fontId="16" numFmtId="0" xfId="0" applyAlignment="1" applyBorder="1" applyFont="1">
      <alignment horizontal="center" vertical="center"/>
    </xf>
    <xf borderId="1" fillId="11" fontId="16" numFmtId="0" xfId="0" applyAlignment="1" applyBorder="1" applyFont="1">
      <alignment horizontal="center" vertical="center"/>
    </xf>
    <xf borderId="11" fillId="11" fontId="16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right" vertical="bottom"/>
    </xf>
    <xf borderId="1" fillId="0" fontId="13" numFmtId="0" xfId="0" applyAlignment="1" applyBorder="1" applyFont="1">
      <alignment readingOrder="0" vertical="bottom"/>
    </xf>
    <xf borderId="1" fillId="0" fontId="4" numFmtId="0" xfId="0" applyBorder="1" applyFont="1"/>
    <xf borderId="1" fillId="0" fontId="1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13" numFmtId="0" xfId="0" applyFont="1"/>
    <xf borderId="0" fillId="0" fontId="18" numFmtId="0" xfId="0" applyFont="1"/>
    <xf borderId="0" fillId="0" fontId="19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20" numFmtId="0" xfId="0" applyFont="1"/>
    <xf borderId="0" fillId="0" fontId="21" numFmtId="0" xfId="0" applyFont="1"/>
    <xf borderId="0" fillId="0" fontId="22" numFmtId="0" xfId="0" applyAlignment="1" applyFont="1">
      <alignment shrinkToFit="0" vertical="center" wrapText="0"/>
    </xf>
    <xf borderId="0" fillId="0" fontId="23" numFmtId="0" xfId="0" applyAlignment="1" applyFont="1">
      <alignment shrinkToFit="0" vertical="center" wrapText="0"/>
    </xf>
    <xf borderId="0" fillId="0" fontId="24" numFmtId="0" xfId="0" applyAlignment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0" fontId="4" numFmtId="0" xfId="0" applyFont="1"/>
    <xf borderId="0" fillId="0" fontId="26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2" fillId="0" fontId="3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7xwords.com/daily/02/02-02.html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flagid.org/" TargetMode="External"/><Relationship Id="rId10" Type="http://schemas.openxmlformats.org/officeDocument/2006/relationships/hyperlink" Target="https://www.noq.solutions/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shapecatcher.com/" TargetMode="External"/><Relationship Id="rId1" Type="http://schemas.openxmlformats.org/officeDocument/2006/relationships/hyperlink" Target="https://docs.google.com/spreadsheets/d/1mTVD0KtjbU6-wp1mvYU_abrjdCmnP9focRa1qp36rrY/edit" TargetMode="External"/><Relationship Id="rId2" Type="http://schemas.openxmlformats.org/officeDocument/2006/relationships/hyperlink" Target="https://docs.google.com/spreadsheets/d/1Wswv2ulhXxkrGcAo3nwdslxjVL7065msGiRPbJOhfmk/edit" TargetMode="External"/><Relationship Id="rId3" Type="http://schemas.openxmlformats.org/officeDocument/2006/relationships/hyperlink" Target="https://www.puzzlehunt.net/tools" TargetMode="External"/><Relationship Id="rId4" Type="http://schemas.openxmlformats.org/officeDocument/2006/relationships/hyperlink" Target="https://nutrimatic.org/" TargetMode="External"/><Relationship Id="rId9" Type="http://schemas.openxmlformats.org/officeDocument/2006/relationships/hyperlink" Target="https://github.com/dessant/search-by-image" TargetMode="External"/><Relationship Id="rId5" Type="http://schemas.openxmlformats.org/officeDocument/2006/relationships/hyperlink" Target="https://www.quinapalus.com/qat.html" TargetMode="External"/><Relationship Id="rId6" Type="http://schemas.openxmlformats.org/officeDocument/2006/relationships/hyperlink" Target="https://www.onelook.com/" TargetMode="External"/><Relationship Id="rId7" Type="http://schemas.openxmlformats.org/officeDocument/2006/relationships/hyperlink" Target="https://www.dcode.fr/en" TargetMode="External"/><Relationship Id="rId8" Type="http://schemas.openxmlformats.org/officeDocument/2006/relationships/hyperlink" Target="https://www.quipqi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6" width="12.63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6" width="2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1" width="2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A67" s="3" t="s">
        <v>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63">
    <mergeCell ref="N7:O8"/>
    <mergeCell ref="P7:Q8"/>
    <mergeCell ref="R7:S8"/>
    <mergeCell ref="T7:U8"/>
    <mergeCell ref="A7:A8"/>
    <mergeCell ref="B7:C8"/>
    <mergeCell ref="D7:E8"/>
    <mergeCell ref="F7:G8"/>
    <mergeCell ref="H7:I8"/>
    <mergeCell ref="J7:K8"/>
    <mergeCell ref="L7:M8"/>
    <mergeCell ref="O9:P10"/>
    <mergeCell ref="Q9:R10"/>
    <mergeCell ref="S9:T10"/>
    <mergeCell ref="U9:U10"/>
    <mergeCell ref="A9:B10"/>
    <mergeCell ref="C9:D10"/>
    <mergeCell ref="E9:F10"/>
    <mergeCell ref="G9:H10"/>
    <mergeCell ref="I9:J10"/>
    <mergeCell ref="K9:L10"/>
    <mergeCell ref="M9:N10"/>
    <mergeCell ref="N11:O12"/>
    <mergeCell ref="P11:Q12"/>
    <mergeCell ref="R11:S12"/>
    <mergeCell ref="T11:U12"/>
    <mergeCell ref="A11:A12"/>
    <mergeCell ref="B11:C12"/>
    <mergeCell ref="D11:E12"/>
    <mergeCell ref="F11:G12"/>
    <mergeCell ref="H11:I12"/>
    <mergeCell ref="J11:K12"/>
    <mergeCell ref="L11:M12"/>
    <mergeCell ref="O13:P14"/>
    <mergeCell ref="Q13:R14"/>
    <mergeCell ref="S13:T14"/>
    <mergeCell ref="U13:U14"/>
    <mergeCell ref="A13:B14"/>
    <mergeCell ref="C13:D14"/>
    <mergeCell ref="E13:F14"/>
    <mergeCell ref="G13:H14"/>
    <mergeCell ref="I13:J14"/>
    <mergeCell ref="K13:L14"/>
    <mergeCell ref="M13:N14"/>
    <mergeCell ref="N15:O16"/>
    <mergeCell ref="P15:Q16"/>
    <mergeCell ref="R15:S16"/>
    <mergeCell ref="T15:U16"/>
    <mergeCell ref="A15:A16"/>
    <mergeCell ref="B15:C16"/>
    <mergeCell ref="D15:E16"/>
    <mergeCell ref="F15:G16"/>
    <mergeCell ref="H15:I16"/>
    <mergeCell ref="J15:K16"/>
    <mergeCell ref="L15:M16"/>
    <mergeCell ref="O17:P18"/>
    <mergeCell ref="Q17:R18"/>
    <mergeCell ref="S17:T18"/>
    <mergeCell ref="U17:U18"/>
    <mergeCell ref="A17:B18"/>
    <mergeCell ref="C17:D18"/>
    <mergeCell ref="E17:F18"/>
    <mergeCell ref="G17:H18"/>
    <mergeCell ref="I17:J18"/>
    <mergeCell ref="K17:L18"/>
    <mergeCell ref="M17:N18"/>
    <mergeCell ref="N19:O20"/>
    <mergeCell ref="P19:Q20"/>
    <mergeCell ref="R19:S20"/>
    <mergeCell ref="T19:U20"/>
    <mergeCell ref="A19:A20"/>
    <mergeCell ref="B19:C20"/>
    <mergeCell ref="D19:E20"/>
    <mergeCell ref="F19:G20"/>
    <mergeCell ref="H19:I20"/>
    <mergeCell ref="J19:K20"/>
    <mergeCell ref="L19:M20"/>
    <mergeCell ref="O21:P22"/>
    <mergeCell ref="Q21:R22"/>
    <mergeCell ref="S21:T22"/>
    <mergeCell ref="U21:U22"/>
    <mergeCell ref="A21:B22"/>
    <mergeCell ref="C21:D22"/>
    <mergeCell ref="E21:F22"/>
    <mergeCell ref="G21:H22"/>
    <mergeCell ref="I21:J22"/>
    <mergeCell ref="K21:L22"/>
    <mergeCell ref="M21:N22"/>
    <mergeCell ref="N23:O24"/>
    <mergeCell ref="P23:Q24"/>
    <mergeCell ref="R23:S24"/>
    <mergeCell ref="T23:U24"/>
    <mergeCell ref="A23:A24"/>
    <mergeCell ref="B23:C24"/>
    <mergeCell ref="D23:E24"/>
    <mergeCell ref="F23:G24"/>
    <mergeCell ref="H23:I24"/>
    <mergeCell ref="J23:K24"/>
    <mergeCell ref="L23:M24"/>
    <mergeCell ref="O25:P26"/>
    <mergeCell ref="Q25:R26"/>
    <mergeCell ref="S25:T26"/>
    <mergeCell ref="U25:U26"/>
    <mergeCell ref="A25:B26"/>
    <mergeCell ref="C25:D26"/>
    <mergeCell ref="E25:F26"/>
    <mergeCell ref="G25:H26"/>
    <mergeCell ref="I25:J26"/>
    <mergeCell ref="K25:L26"/>
    <mergeCell ref="M25:N26"/>
    <mergeCell ref="N27:O28"/>
    <mergeCell ref="P27:Q28"/>
    <mergeCell ref="R27:S28"/>
    <mergeCell ref="T27:U28"/>
    <mergeCell ref="A27:A28"/>
    <mergeCell ref="B27:C28"/>
    <mergeCell ref="D27:E28"/>
    <mergeCell ref="F27:G28"/>
    <mergeCell ref="H27:I28"/>
    <mergeCell ref="J27:K28"/>
    <mergeCell ref="L27:M28"/>
    <mergeCell ref="O29:P30"/>
    <mergeCell ref="Q29:R30"/>
    <mergeCell ref="S29:T30"/>
    <mergeCell ref="U29:U30"/>
    <mergeCell ref="A29:B30"/>
    <mergeCell ref="C29:D30"/>
    <mergeCell ref="E29:F30"/>
    <mergeCell ref="G29:H30"/>
    <mergeCell ref="I29:J30"/>
    <mergeCell ref="K29:L30"/>
    <mergeCell ref="M29:N30"/>
    <mergeCell ref="N31:O32"/>
    <mergeCell ref="P31:Q32"/>
    <mergeCell ref="R31:S32"/>
    <mergeCell ref="T31:U32"/>
    <mergeCell ref="A31:A32"/>
    <mergeCell ref="B31:C32"/>
    <mergeCell ref="D31:E32"/>
    <mergeCell ref="F31:G32"/>
    <mergeCell ref="H31:I32"/>
    <mergeCell ref="J31:K32"/>
    <mergeCell ref="L31:M32"/>
    <mergeCell ref="O33:P34"/>
    <mergeCell ref="Q33:R34"/>
    <mergeCell ref="S33:T34"/>
    <mergeCell ref="U33:U34"/>
    <mergeCell ref="A33:B34"/>
    <mergeCell ref="C33:D34"/>
    <mergeCell ref="E33:F34"/>
    <mergeCell ref="G33:H34"/>
    <mergeCell ref="I33:J34"/>
    <mergeCell ref="K33:L34"/>
    <mergeCell ref="M33:N34"/>
    <mergeCell ref="N35:O36"/>
    <mergeCell ref="P35:Q36"/>
    <mergeCell ref="R35:S36"/>
    <mergeCell ref="T35:U36"/>
    <mergeCell ref="A35:A36"/>
    <mergeCell ref="B35:C36"/>
    <mergeCell ref="D35:E36"/>
    <mergeCell ref="F35:G36"/>
    <mergeCell ref="H35:I36"/>
    <mergeCell ref="J35:K36"/>
    <mergeCell ref="L35:M36"/>
    <mergeCell ref="O37:P38"/>
    <mergeCell ref="Q37:R38"/>
    <mergeCell ref="S37:T38"/>
    <mergeCell ref="U37:U38"/>
    <mergeCell ref="A37:B38"/>
    <mergeCell ref="C37:D38"/>
    <mergeCell ref="E37:F38"/>
    <mergeCell ref="G37:H38"/>
    <mergeCell ref="I37:J38"/>
    <mergeCell ref="K37:L38"/>
    <mergeCell ref="M37:N38"/>
    <mergeCell ref="N39:O40"/>
    <mergeCell ref="P39:Q40"/>
    <mergeCell ref="R39:S40"/>
    <mergeCell ref="T39:U40"/>
    <mergeCell ref="A39:A40"/>
    <mergeCell ref="B39:C40"/>
    <mergeCell ref="D39:E40"/>
    <mergeCell ref="F39:G40"/>
    <mergeCell ref="H39:I40"/>
    <mergeCell ref="J39:K40"/>
    <mergeCell ref="L39:M40"/>
    <mergeCell ref="O41:P42"/>
    <mergeCell ref="Q41:R42"/>
    <mergeCell ref="S41:T42"/>
    <mergeCell ref="U41:U42"/>
    <mergeCell ref="A41:B42"/>
    <mergeCell ref="C41:D42"/>
    <mergeCell ref="E41:F42"/>
    <mergeCell ref="G41:H42"/>
    <mergeCell ref="I41:J42"/>
    <mergeCell ref="K41:L42"/>
    <mergeCell ref="M41:N42"/>
    <mergeCell ref="N43:O44"/>
    <mergeCell ref="P43:Q44"/>
    <mergeCell ref="R43:S44"/>
    <mergeCell ref="T43:U44"/>
    <mergeCell ref="A43:A44"/>
    <mergeCell ref="B43:C44"/>
    <mergeCell ref="D43:E44"/>
    <mergeCell ref="F43:G44"/>
    <mergeCell ref="H43:I44"/>
    <mergeCell ref="J43:K44"/>
    <mergeCell ref="L43:M44"/>
    <mergeCell ref="O45:P46"/>
    <mergeCell ref="Q45:R46"/>
    <mergeCell ref="S45:T46"/>
    <mergeCell ref="U45:U46"/>
    <mergeCell ref="A45:B46"/>
    <mergeCell ref="C45:D46"/>
    <mergeCell ref="E45:F46"/>
    <mergeCell ref="G45:H46"/>
    <mergeCell ref="I45:J46"/>
    <mergeCell ref="K45:L46"/>
    <mergeCell ref="M45:N46"/>
    <mergeCell ref="N47:O48"/>
    <mergeCell ref="P47:Q48"/>
    <mergeCell ref="R47:S48"/>
    <mergeCell ref="T47:U48"/>
    <mergeCell ref="A47:A48"/>
    <mergeCell ref="B47:C48"/>
    <mergeCell ref="D47:E48"/>
    <mergeCell ref="F47:G48"/>
    <mergeCell ref="H47:I48"/>
    <mergeCell ref="J47:K48"/>
    <mergeCell ref="L47:M48"/>
    <mergeCell ref="N63:O64"/>
    <mergeCell ref="P63:Q64"/>
    <mergeCell ref="R63:S64"/>
    <mergeCell ref="T63:U64"/>
    <mergeCell ref="A63:A64"/>
    <mergeCell ref="B63:C64"/>
    <mergeCell ref="D63:E64"/>
    <mergeCell ref="F63:G64"/>
    <mergeCell ref="H63:I64"/>
    <mergeCell ref="J63:K64"/>
    <mergeCell ref="L63:M64"/>
    <mergeCell ref="O1:P2"/>
    <mergeCell ref="Q1:R2"/>
    <mergeCell ref="S1:T2"/>
    <mergeCell ref="U1:U2"/>
    <mergeCell ref="A1:B2"/>
    <mergeCell ref="C1:D2"/>
    <mergeCell ref="E1:F2"/>
    <mergeCell ref="G1:H2"/>
    <mergeCell ref="I1:J2"/>
    <mergeCell ref="K1:L2"/>
    <mergeCell ref="M1:N2"/>
    <mergeCell ref="N3:O4"/>
    <mergeCell ref="P3:Q4"/>
    <mergeCell ref="R3:S4"/>
    <mergeCell ref="T3:U4"/>
    <mergeCell ref="A3:A4"/>
    <mergeCell ref="B3:C4"/>
    <mergeCell ref="D3:E4"/>
    <mergeCell ref="F3:G4"/>
    <mergeCell ref="H3:I4"/>
    <mergeCell ref="J3:K4"/>
    <mergeCell ref="L3:M4"/>
    <mergeCell ref="O5:P6"/>
    <mergeCell ref="Q5:R6"/>
    <mergeCell ref="S5:T6"/>
    <mergeCell ref="U5:U6"/>
    <mergeCell ref="A5:B6"/>
    <mergeCell ref="C5:D6"/>
    <mergeCell ref="E5:F6"/>
    <mergeCell ref="G5:H6"/>
    <mergeCell ref="I5:J6"/>
    <mergeCell ref="K5:L6"/>
    <mergeCell ref="M5:N6"/>
    <mergeCell ref="O65:P66"/>
    <mergeCell ref="Q65:R66"/>
    <mergeCell ref="S65:T66"/>
    <mergeCell ref="U65:U66"/>
    <mergeCell ref="A65:B66"/>
    <mergeCell ref="C65:D66"/>
    <mergeCell ref="E65:F66"/>
    <mergeCell ref="G65:H66"/>
    <mergeCell ref="I65:J66"/>
    <mergeCell ref="K65:L66"/>
    <mergeCell ref="M65:N66"/>
    <mergeCell ref="O49:P50"/>
    <mergeCell ref="Q49:R50"/>
    <mergeCell ref="S49:T50"/>
    <mergeCell ref="U49:U50"/>
    <mergeCell ref="A49:B50"/>
    <mergeCell ref="C49:D50"/>
    <mergeCell ref="E49:F50"/>
    <mergeCell ref="G49:H50"/>
    <mergeCell ref="I49:J50"/>
    <mergeCell ref="K49:L50"/>
    <mergeCell ref="M49:N50"/>
    <mergeCell ref="N51:O52"/>
    <mergeCell ref="P51:Q52"/>
    <mergeCell ref="R51:S52"/>
    <mergeCell ref="T51:U52"/>
    <mergeCell ref="A51:A52"/>
    <mergeCell ref="B51:C52"/>
    <mergeCell ref="D51:E52"/>
    <mergeCell ref="F51:G52"/>
    <mergeCell ref="H51:I52"/>
    <mergeCell ref="J51:K52"/>
    <mergeCell ref="L51:M52"/>
    <mergeCell ref="O53:P54"/>
    <mergeCell ref="Q53:R54"/>
    <mergeCell ref="S53:T54"/>
    <mergeCell ref="U53:U54"/>
    <mergeCell ref="A53:B54"/>
    <mergeCell ref="C53:D54"/>
    <mergeCell ref="E53:F54"/>
    <mergeCell ref="G53:H54"/>
    <mergeCell ref="I53:J54"/>
    <mergeCell ref="K53:L54"/>
    <mergeCell ref="M53:N54"/>
    <mergeCell ref="N55:O56"/>
    <mergeCell ref="P55:Q56"/>
    <mergeCell ref="R55:S56"/>
    <mergeCell ref="T55:U56"/>
    <mergeCell ref="A55:A56"/>
    <mergeCell ref="B55:C56"/>
    <mergeCell ref="D55:E56"/>
    <mergeCell ref="F55:G56"/>
    <mergeCell ref="H55:I56"/>
    <mergeCell ref="J55:K56"/>
    <mergeCell ref="L55:M56"/>
    <mergeCell ref="O57:P58"/>
    <mergeCell ref="Q57:R58"/>
    <mergeCell ref="S57:T58"/>
    <mergeCell ref="U57:U58"/>
    <mergeCell ref="A57:B58"/>
    <mergeCell ref="C57:D58"/>
    <mergeCell ref="E57:F58"/>
    <mergeCell ref="G57:H58"/>
    <mergeCell ref="I57:J58"/>
    <mergeCell ref="K57:L58"/>
    <mergeCell ref="M57:N58"/>
    <mergeCell ref="N59:O60"/>
    <mergeCell ref="P59:Q60"/>
    <mergeCell ref="R59:S60"/>
    <mergeCell ref="T59:U60"/>
    <mergeCell ref="A59:A60"/>
    <mergeCell ref="B59:C60"/>
    <mergeCell ref="D59:E60"/>
    <mergeCell ref="F59:G60"/>
    <mergeCell ref="H59:I60"/>
    <mergeCell ref="J59:K60"/>
    <mergeCell ref="L59:M60"/>
    <mergeCell ref="O61:P62"/>
    <mergeCell ref="Q61:R62"/>
    <mergeCell ref="S61:T62"/>
    <mergeCell ref="U61:U62"/>
    <mergeCell ref="A61:B62"/>
    <mergeCell ref="C61:D62"/>
    <mergeCell ref="E61:F62"/>
    <mergeCell ref="G61:H62"/>
    <mergeCell ref="I61:J62"/>
    <mergeCell ref="K61:L62"/>
    <mergeCell ref="M61:N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23.25"/>
    <col customWidth="1" min="4" max="4" width="18.0"/>
    <col customWidth="1" min="5" max="5" width="20.25"/>
    <col customWidth="1" min="6" max="32" width="2.63"/>
    <col customWidth="1" min="33" max="33" width="17.0"/>
  </cols>
  <sheetData>
    <row r="1">
      <c r="A1" s="5" t="s">
        <v>3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5" t="s">
        <v>4</v>
      </c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8" t="s">
        <v>5</v>
      </c>
      <c r="B3" s="6"/>
      <c r="C3" s="6"/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6"/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>
      <c r="A5" s="9" t="s">
        <v>6</v>
      </c>
      <c r="B5" s="10"/>
      <c r="C5" s="10"/>
      <c r="D5" s="11"/>
      <c r="E5" s="10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0" t="s">
        <v>7</v>
      </c>
      <c r="B6" s="10" t="s">
        <v>8</v>
      </c>
      <c r="C6" s="10" t="s">
        <v>9</v>
      </c>
      <c r="D6" s="11"/>
      <c r="E6" s="10" t="s">
        <v>10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3" t="s">
        <v>11</v>
      </c>
      <c r="B7" s="14" t="s">
        <v>12</v>
      </c>
      <c r="C7" s="14" t="s">
        <v>13</v>
      </c>
      <c r="D7" s="15"/>
      <c r="E7" s="16" t="str">
        <f>ANSWERIZE(C7)</f>
        <v>THISINPUTIS2MESSY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>
      <c r="A8" s="13" t="s">
        <v>14</v>
      </c>
      <c r="B8" s="14" t="s">
        <v>15</v>
      </c>
      <c r="C8" s="14" t="s">
        <v>16</v>
      </c>
      <c r="D8" s="14">
        <v>5.0</v>
      </c>
      <c r="E8" s="16" t="str">
        <f>INDEX_INTO(C8,D8)</f>
        <v>X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>
      <c r="A9" s="13" t="s">
        <v>17</v>
      </c>
      <c r="B9" s="14" t="s">
        <v>18</v>
      </c>
      <c r="C9" s="14" t="s">
        <v>19</v>
      </c>
      <c r="D9" s="14">
        <v>5.0</v>
      </c>
      <c r="E9" s="16" t="str">
        <f>INDEX_INTO_SENTENCE(C9,D9)</f>
        <v>instead!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>
      <c r="A10" s="13" t="s">
        <v>20</v>
      </c>
      <c r="B10" s="14" t="s">
        <v>21</v>
      </c>
      <c r="C10" s="14" t="s">
        <v>22</v>
      </c>
      <c r="D10" s="15"/>
      <c r="E10" s="16" t="str">
        <f>ALPHABETIZE(C10)</f>
        <v>GHOST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>
      <c r="A11" s="13" t="s">
        <v>23</v>
      </c>
      <c r="B11" s="14" t="s">
        <v>24</v>
      </c>
      <c r="C11" s="14" t="s">
        <v>25</v>
      </c>
      <c r="D11" s="15"/>
      <c r="E11" s="16" t="str">
        <f>REVERSE(C11)</f>
        <v>stresseD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>
      <c r="A12" s="13" t="s">
        <v>26</v>
      </c>
      <c r="B12" s="14" t="s">
        <v>27</v>
      </c>
      <c r="C12" s="14" t="s">
        <v>28</v>
      </c>
      <c r="D12" s="14">
        <v>13.0</v>
      </c>
      <c r="E12" s="16" t="str">
        <f>CAESAR(C12,D12)</f>
        <v>Abjurer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>
      <c r="A13" s="13" t="s">
        <v>29</v>
      </c>
      <c r="B13" s="14" t="s">
        <v>30</v>
      </c>
      <c r="C13" s="14" t="s">
        <v>31</v>
      </c>
      <c r="D13" s="14">
        <v>2.0</v>
      </c>
      <c r="E13" s="16" t="str">
        <f>CYCLE_STRING(C13,D13)</f>
        <v>spectRe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>
      <c r="A14" s="13" t="s">
        <v>32</v>
      </c>
      <c r="B14" s="14" t="s">
        <v>33</v>
      </c>
      <c r="C14" s="14" t="s">
        <v>34</v>
      </c>
      <c r="D14" s="14" t="s">
        <v>35</v>
      </c>
      <c r="E14" s="16" t="str">
        <f>EIGENLETTER(C14,D14)</f>
        <v>OL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>
      <c r="A15" s="13" t="s">
        <v>36</v>
      </c>
      <c r="B15" s="14" t="s">
        <v>37</v>
      </c>
      <c r="C15" s="14" t="s">
        <v>38</v>
      </c>
      <c r="D15" s="15"/>
      <c r="E15" s="16" t="str">
        <f>MISSING_LETTERS(C15)</f>
        <v>F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>
      <c r="A16" s="13" t="s">
        <v>39</v>
      </c>
      <c r="B16" s="14" t="s">
        <v>40</v>
      </c>
      <c r="C16" s="14" t="s">
        <v>41</v>
      </c>
      <c r="D16" s="15"/>
      <c r="E16" s="16" t="str">
        <f t="shared" ref="E16:E17" si="1">ENUMERATE(C16)</f>
        <v>6'1 2 2 4 2 4 3 2 11?</v>
      </c>
      <c r="F16" s="7"/>
      <c r="G16" s="1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>
      <c r="A17" s="13"/>
      <c r="B17" s="14" t="s">
        <v>42</v>
      </c>
      <c r="C17" s="14" t="s">
        <v>43</v>
      </c>
      <c r="D17" s="15"/>
      <c r="E17" s="16" t="str">
        <f t="shared" si="1"/>
        <v>5 5 4 3 2, 5 5 3 3 4</v>
      </c>
      <c r="F17" s="7"/>
      <c r="G17" s="1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>
      <c r="A18" s="13" t="s">
        <v>44</v>
      </c>
      <c r="B18" s="14" t="s">
        <v>45</v>
      </c>
      <c r="C18" s="14" t="s">
        <v>46</v>
      </c>
      <c r="D18" s="14">
        <v>4.0</v>
      </c>
      <c r="E18" s="16" t="str">
        <f>NGRAMS(C18,D18)</f>
        <v>SPLI TTHI SUP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>
      <c r="A19" s="13" t="s">
        <v>47</v>
      </c>
      <c r="B19" s="14" t="s">
        <v>48</v>
      </c>
      <c r="C19" s="14" t="s">
        <v>49</v>
      </c>
      <c r="D19" s="14">
        <v>4.0</v>
      </c>
      <c r="E19" s="16" t="str">
        <f>NGRAMS_ALL(C19,D19)</f>
        <v>THIS HIST ISTO STOO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>
      <c r="A20" s="13"/>
      <c r="B20" s="18"/>
      <c r="C20" s="16"/>
      <c r="D20" s="16"/>
      <c r="E20" s="1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>
      <c r="A21" s="19" t="s">
        <v>50</v>
      </c>
      <c r="B21" s="20"/>
      <c r="C21" s="20"/>
      <c r="D21" s="21"/>
      <c r="E21" s="20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>
      <c r="A22" s="20" t="s">
        <v>7</v>
      </c>
      <c r="B22" s="20" t="s">
        <v>8</v>
      </c>
      <c r="C22" s="20" t="s">
        <v>9</v>
      </c>
      <c r="D22" s="23" t="s">
        <v>10</v>
      </c>
      <c r="E22" s="20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>
      <c r="A23" s="24" t="s">
        <v>51</v>
      </c>
      <c r="B23" s="14" t="s">
        <v>52</v>
      </c>
      <c r="C23" s="25" t="s">
        <v>53</v>
      </c>
      <c r="D23" s="26">
        <f t="shared" ref="D23:D24" si="2">A1Z26(C23)</f>
        <v>10</v>
      </c>
      <c r="E23" s="1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>
      <c r="A24" s="13"/>
      <c r="B24" s="14" t="s">
        <v>54</v>
      </c>
      <c r="C24" s="25">
        <v>15.0</v>
      </c>
      <c r="D24" s="26" t="str">
        <f t="shared" si="2"/>
        <v>O</v>
      </c>
      <c r="E24" s="1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>
      <c r="A25" s="13" t="s">
        <v>55</v>
      </c>
      <c r="B25" s="14" t="s">
        <v>56</v>
      </c>
      <c r="C25" s="27" t="s">
        <v>57</v>
      </c>
      <c r="D25" s="16" t="str">
        <f>BRAILLE(C25)</f>
        <v>⠃⠗⠁⠊⠇⠇⠑/⠞⠓⠊⠎</v>
      </c>
      <c r="E25" s="1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>
      <c r="A26" s="13" t="s">
        <v>58</v>
      </c>
      <c r="B26" s="14" t="s">
        <v>59</v>
      </c>
      <c r="C26" s="27" t="s">
        <v>60</v>
      </c>
      <c r="D26" s="15" t="str">
        <f>MORSE_TO(C26)</f>
        <v>-- --- .-. ... . / -- . --..-- / .--. .-.. . .- ... . -.-.--</v>
      </c>
      <c r="E26" s="1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>
      <c r="A27" s="13" t="s">
        <v>61</v>
      </c>
      <c r="B27" s="14" t="s">
        <v>62</v>
      </c>
      <c r="C27" s="28" t="s">
        <v>63</v>
      </c>
      <c r="D27" s="16" t="str">
        <f>MORSE_FROM(C27)</f>
        <v>WAIT, PUT ME BACK!</v>
      </c>
      <c r="E27" s="1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>
      <c r="A28" s="13" t="s">
        <v>64</v>
      </c>
      <c r="B28" s="14" t="s">
        <v>65</v>
      </c>
      <c r="C28" s="29" t="s">
        <v>66</v>
      </c>
      <c r="D28" s="16" t="str">
        <f>PERIODIC(C28)</f>
        <v>C Al Li N Ir O N</v>
      </c>
      <c r="E28" s="1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>
      <c r="A29" s="24" t="s">
        <v>67</v>
      </c>
      <c r="B29" s="14" t="s">
        <v>68</v>
      </c>
      <c r="C29" s="27" t="s">
        <v>69</v>
      </c>
      <c r="D29" s="16" t="str">
        <f>ATOMIC(C29)</f>
        <v>74 1 85</v>
      </c>
      <c r="E29" s="1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>
      <c r="A30" s="13" t="s">
        <v>70</v>
      </c>
      <c r="B30" s="14" t="s">
        <v>71</v>
      </c>
      <c r="C30" s="27" t="s">
        <v>72</v>
      </c>
      <c r="D30" s="16">
        <f>SCRABBLE(C30)</f>
        <v>21</v>
      </c>
      <c r="E30" s="1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>
      <c r="A31" s="13" t="s">
        <v>73</v>
      </c>
      <c r="B31" s="14" t="s">
        <v>74</v>
      </c>
      <c r="C31" s="27" t="s">
        <v>75</v>
      </c>
      <c r="D31" s="16" t="str">
        <f>COUNTRY_FLAG(C31)</f>
        <v/>
      </c>
      <c r="E31" s="1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>
      <c r="A32" s="13" t="s">
        <v>76</v>
      </c>
      <c r="B32" s="14" t="s">
        <v>77</v>
      </c>
      <c r="C32" s="27" t="s">
        <v>78</v>
      </c>
      <c r="D32" s="16" t="str">
        <f>COUNTRY_MAP(C32)</f>
        <v/>
      </c>
      <c r="E32" s="1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>
      <c r="A33" s="13"/>
      <c r="B33" s="18"/>
      <c r="C33" s="16"/>
      <c r="D33" s="16"/>
      <c r="E33" s="1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>
      <c r="A34" s="30" t="s">
        <v>79</v>
      </c>
      <c r="B34" s="31"/>
      <c r="C34" s="31"/>
      <c r="D34" s="32"/>
      <c r="E34" s="31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>
      <c r="A35" s="31" t="s">
        <v>7</v>
      </c>
      <c r="B35" s="31" t="s">
        <v>8</v>
      </c>
      <c r="C35" s="31" t="s">
        <v>80</v>
      </c>
      <c r="D35" s="31" t="s">
        <v>81</v>
      </c>
      <c r="E35" s="31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>
      <c r="A36" s="34" t="s">
        <v>82</v>
      </c>
      <c r="B36" s="35" t="s">
        <v>83</v>
      </c>
      <c r="C36" s="36" t="s">
        <v>84</v>
      </c>
      <c r="D36" s="37" t="str">
        <f>SPLIT_INTO_CELLS(C36)</f>
        <v>S</v>
      </c>
      <c r="E36" s="37" t="s">
        <v>85</v>
      </c>
      <c r="F36" s="38" t="s">
        <v>86</v>
      </c>
      <c r="G36" s="38" t="s">
        <v>87</v>
      </c>
      <c r="H36" s="38" t="s">
        <v>88</v>
      </c>
      <c r="I36" s="38" t="s">
        <v>89</v>
      </c>
      <c r="J36" s="38" t="s">
        <v>88</v>
      </c>
      <c r="K36" s="38" t="s">
        <v>90</v>
      </c>
      <c r="L36" s="38" t="s">
        <v>87</v>
      </c>
      <c r="M36" s="38" t="s">
        <v>91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>
      <c r="A37" s="24" t="s">
        <v>92</v>
      </c>
      <c r="B37" s="14" t="s">
        <v>93</v>
      </c>
      <c r="C37" s="40" t="s">
        <v>94</v>
      </c>
      <c r="D37" s="41" t="str">
        <f>DIAGONAL_LETTERS(C38:C42)</f>
        <v>HELLO</v>
      </c>
      <c r="E37" s="1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>
      <c r="A38" s="16"/>
      <c r="B38" s="15"/>
      <c r="C38" s="27" t="s">
        <v>95</v>
      </c>
      <c r="D38" s="16"/>
      <c r="E38" s="1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>
      <c r="A39" s="16"/>
      <c r="B39" s="15"/>
      <c r="C39" s="27" t="s">
        <v>96</v>
      </c>
      <c r="D39" s="16"/>
      <c r="E39" s="1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>
      <c r="A40" s="16"/>
      <c r="B40" s="15"/>
      <c r="C40" s="27" t="s">
        <v>97</v>
      </c>
      <c r="D40" s="16"/>
      <c r="E40" s="1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>
      <c r="A41" s="16"/>
      <c r="B41" s="15"/>
      <c r="C41" s="27" t="s">
        <v>98</v>
      </c>
      <c r="D41" s="16"/>
      <c r="E41" s="1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>
      <c r="A42" s="42"/>
      <c r="B42" s="43"/>
      <c r="C42" s="36" t="s">
        <v>99</v>
      </c>
      <c r="D42" s="42"/>
      <c r="E42" s="42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>
      <c r="A43" s="24" t="s">
        <v>100</v>
      </c>
      <c r="B43" s="14" t="s">
        <v>101</v>
      </c>
      <c r="C43" s="40" t="s">
        <v>94</v>
      </c>
      <c r="D43" s="41" t="str">
        <f>WOF(C44:C49)</f>
        <v>g[aeiou]_[gh]l[def]</v>
      </c>
      <c r="E43" s="1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>
      <c r="A44" s="16"/>
      <c r="B44" s="15"/>
      <c r="C44" s="44" t="s">
        <v>102</v>
      </c>
      <c r="D44" s="16"/>
      <c r="E44" s="1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>
      <c r="A45" s="16"/>
      <c r="B45" s="15"/>
      <c r="C45" s="44" t="s">
        <v>103</v>
      </c>
      <c r="D45" s="16"/>
      <c r="E45" s="1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>
      <c r="A46" s="16"/>
      <c r="B46" s="16"/>
      <c r="C46" s="45"/>
      <c r="D46" s="16"/>
      <c r="E46" s="1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>
      <c r="A47" s="16"/>
      <c r="B47" s="16"/>
      <c r="C47" s="44" t="s">
        <v>104</v>
      </c>
      <c r="D47" s="16"/>
      <c r="E47" s="1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>
      <c r="A48" s="16"/>
      <c r="B48" s="16"/>
      <c r="C48" s="44" t="s">
        <v>105</v>
      </c>
      <c r="D48" s="16"/>
      <c r="E48" s="1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>
      <c r="A49" s="16"/>
      <c r="B49" s="16"/>
      <c r="C49" s="44" t="s">
        <v>106</v>
      </c>
      <c r="D49" s="16"/>
      <c r="E49" s="1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>
      <c r="A50" s="46" t="s">
        <v>107</v>
      </c>
      <c r="B50" s="47" t="s">
        <v>108</v>
      </c>
      <c r="C50" s="48" t="s">
        <v>109</v>
      </c>
      <c r="D50" s="49" t="s">
        <v>110</v>
      </c>
      <c r="E50" s="50"/>
      <c r="F50" s="51"/>
      <c r="G50" s="52"/>
      <c r="H50" s="52"/>
      <c r="I50" s="52"/>
      <c r="J50" s="52"/>
      <c r="K50" s="52"/>
      <c r="L50" s="52"/>
      <c r="M50" s="52"/>
      <c r="N50" s="51"/>
      <c r="O50" s="52"/>
      <c r="P50" s="52"/>
      <c r="Q50" s="52"/>
      <c r="R50" s="52"/>
      <c r="S50" s="52"/>
      <c r="T50" s="52"/>
      <c r="U50" s="51"/>
      <c r="V50" s="52"/>
      <c r="W50" s="52"/>
      <c r="X50" s="52"/>
      <c r="Y50" s="52"/>
      <c r="Z50" s="52"/>
      <c r="AA50" s="52"/>
      <c r="AB50" s="51"/>
      <c r="AC50" s="52"/>
      <c r="AD50" s="52"/>
      <c r="AE50" s="52"/>
      <c r="AF50" s="52"/>
      <c r="AG50" s="52"/>
    </row>
    <row r="51">
      <c r="A51" s="16"/>
      <c r="B51" s="14"/>
      <c r="C51" s="53" t="s">
        <v>111</v>
      </c>
      <c r="D51" s="41" t="str">
        <f>SORT_BY_LENGTH(C51:C54)</f>
        <v>DIME</v>
      </c>
      <c r="E51" s="16"/>
      <c r="F51" s="54"/>
      <c r="G51" s="7"/>
      <c r="H51" s="7"/>
      <c r="I51" s="7"/>
      <c r="J51" s="7"/>
      <c r="K51" s="7"/>
      <c r="L51" s="7"/>
      <c r="M51" s="7"/>
      <c r="N51" s="54"/>
      <c r="O51" s="7"/>
      <c r="P51" s="7"/>
      <c r="Q51" s="7"/>
      <c r="R51" s="7"/>
      <c r="S51" s="7"/>
      <c r="T51" s="7"/>
      <c r="U51" s="54"/>
      <c r="V51" s="7"/>
      <c r="W51" s="7"/>
      <c r="X51" s="7"/>
      <c r="Y51" s="7"/>
      <c r="Z51" s="7"/>
      <c r="AA51" s="7"/>
      <c r="AB51" s="54"/>
      <c r="AC51" s="7"/>
      <c r="AD51" s="7"/>
      <c r="AE51" s="7"/>
      <c r="AF51" s="7"/>
      <c r="AG51" s="7"/>
    </row>
    <row r="52">
      <c r="A52" s="16"/>
      <c r="B52" s="14"/>
      <c r="C52" s="53" t="s">
        <v>112</v>
      </c>
      <c r="D52" s="41" t="s">
        <v>111</v>
      </c>
      <c r="E52" s="16"/>
      <c r="F52" s="54"/>
      <c r="G52" s="7"/>
      <c r="H52" s="7"/>
      <c r="I52" s="7"/>
      <c r="J52" s="7"/>
      <c r="K52" s="7"/>
      <c r="L52" s="7"/>
      <c r="M52" s="7"/>
      <c r="N52" s="54"/>
      <c r="O52" s="7"/>
      <c r="P52" s="7"/>
      <c r="Q52" s="7"/>
      <c r="R52" s="7"/>
      <c r="S52" s="7"/>
      <c r="T52" s="7"/>
      <c r="U52" s="54"/>
      <c r="V52" s="7"/>
      <c r="W52" s="7"/>
      <c r="X52" s="7"/>
      <c r="Y52" s="7"/>
      <c r="Z52" s="7"/>
      <c r="AA52" s="7"/>
      <c r="AB52" s="54"/>
      <c r="AC52" s="7"/>
      <c r="AD52" s="7"/>
      <c r="AE52" s="7"/>
      <c r="AF52" s="7"/>
      <c r="AG52" s="7"/>
    </row>
    <row r="53">
      <c r="A53" s="16"/>
      <c r="B53" s="14"/>
      <c r="C53" s="53" t="s">
        <v>113</v>
      </c>
      <c r="D53" s="41" t="s">
        <v>112</v>
      </c>
      <c r="E53" s="16"/>
      <c r="F53" s="54"/>
      <c r="G53" s="7"/>
      <c r="H53" s="7"/>
      <c r="I53" s="7"/>
      <c r="J53" s="7"/>
      <c r="K53" s="7"/>
      <c r="L53" s="7"/>
      <c r="M53" s="7"/>
      <c r="N53" s="54"/>
      <c r="O53" s="7"/>
      <c r="P53" s="7"/>
      <c r="Q53" s="7"/>
      <c r="R53" s="7"/>
      <c r="S53" s="7"/>
      <c r="T53" s="7"/>
      <c r="U53" s="54"/>
      <c r="V53" s="7"/>
      <c r="W53" s="7"/>
      <c r="X53" s="7"/>
      <c r="Y53" s="7"/>
      <c r="Z53" s="7"/>
      <c r="AA53" s="7"/>
      <c r="AB53" s="54"/>
      <c r="AC53" s="7"/>
      <c r="AD53" s="7"/>
      <c r="AE53" s="7"/>
      <c r="AF53" s="7"/>
      <c r="AG53" s="7"/>
    </row>
    <row r="54">
      <c r="A54" s="42"/>
      <c r="B54" s="35"/>
      <c r="C54" s="55" t="s">
        <v>114</v>
      </c>
      <c r="D54" s="37" t="s">
        <v>114</v>
      </c>
      <c r="E54" s="42"/>
      <c r="F54" s="56"/>
      <c r="G54" s="39"/>
      <c r="H54" s="39"/>
      <c r="I54" s="39"/>
      <c r="J54" s="39"/>
      <c r="K54" s="39"/>
      <c r="L54" s="39"/>
      <c r="M54" s="39"/>
      <c r="N54" s="56"/>
      <c r="O54" s="39"/>
      <c r="P54" s="39"/>
      <c r="Q54" s="39"/>
      <c r="R54" s="39"/>
      <c r="S54" s="39"/>
      <c r="T54" s="39"/>
      <c r="U54" s="56"/>
      <c r="V54" s="39"/>
      <c r="W54" s="39"/>
      <c r="X54" s="39"/>
      <c r="Y54" s="39"/>
      <c r="Z54" s="39"/>
      <c r="AA54" s="39"/>
      <c r="AB54" s="56"/>
      <c r="AC54" s="39"/>
      <c r="AD54" s="39"/>
      <c r="AE54" s="39"/>
      <c r="AF54" s="39"/>
      <c r="AG54" s="39"/>
    </row>
    <row r="55">
      <c r="A55" s="16" t="s">
        <v>115</v>
      </c>
      <c r="B55" s="14" t="s">
        <v>116</v>
      </c>
      <c r="C55" s="14" t="s">
        <v>117</v>
      </c>
      <c r="D55" s="16"/>
      <c r="E55" s="16"/>
      <c r="F55" s="54" t="s">
        <v>118</v>
      </c>
      <c r="G55" s="7"/>
      <c r="H55" s="7"/>
      <c r="I55" s="7"/>
      <c r="J55" s="7"/>
      <c r="K55" s="7"/>
      <c r="L55" s="7"/>
      <c r="M55" s="7"/>
      <c r="N55" s="54" t="s">
        <v>110</v>
      </c>
      <c r="O55" s="7"/>
      <c r="P55" s="7"/>
      <c r="Q55" s="7"/>
      <c r="R55" s="7"/>
      <c r="S55" s="7"/>
      <c r="T55" s="7"/>
      <c r="U55" s="54" t="s">
        <v>119</v>
      </c>
      <c r="V55" s="7"/>
      <c r="W55" s="7"/>
      <c r="X55" s="7"/>
      <c r="Y55" s="7"/>
      <c r="Z55" s="7"/>
      <c r="AA55" s="7"/>
      <c r="AB55" s="54" t="s">
        <v>110</v>
      </c>
      <c r="AC55" s="7"/>
      <c r="AD55" s="7"/>
      <c r="AE55" s="7"/>
      <c r="AF55" s="7"/>
      <c r="AG55" s="7"/>
    </row>
    <row r="56">
      <c r="A56" s="16"/>
      <c r="B56" s="16"/>
      <c r="C56" s="16"/>
      <c r="D56" s="16"/>
      <c r="E56" s="16"/>
      <c r="F56" s="57" t="s">
        <v>120</v>
      </c>
      <c r="G56" s="58" t="s">
        <v>121</v>
      </c>
      <c r="H56" s="59" t="s">
        <v>122</v>
      </c>
      <c r="I56" s="7"/>
      <c r="J56" s="57">
        <v>2.0</v>
      </c>
      <c r="K56" s="58"/>
      <c r="L56" s="59">
        <v>1.0</v>
      </c>
      <c r="M56" s="7"/>
      <c r="N56" s="60">
        <f>NUMBERED_GRID(F56:H58,J56:L58)</f>
        <v>1</v>
      </c>
      <c r="O56" s="60" t="s">
        <v>122</v>
      </c>
      <c r="P56" s="7"/>
      <c r="Q56" s="7"/>
      <c r="R56" s="7"/>
      <c r="S56" s="7"/>
      <c r="T56" s="7"/>
      <c r="U56" s="61" t="s">
        <v>102</v>
      </c>
      <c r="V56" s="62" t="s">
        <v>123</v>
      </c>
      <c r="W56" s="62" t="s">
        <v>123</v>
      </c>
      <c r="X56" s="62" t="s">
        <v>102</v>
      </c>
      <c r="Y56" s="62" t="s">
        <v>105</v>
      </c>
      <c r="Z56" s="63" t="s">
        <v>124</v>
      </c>
      <c r="AA56" s="7"/>
      <c r="AB56" s="60">
        <f>NUMBERED_GRID(U56:Z65,U57:Z66)</f>
        <v>1</v>
      </c>
      <c r="AC56" s="60" t="s">
        <v>125</v>
      </c>
      <c r="AD56" s="7"/>
      <c r="AE56" s="7"/>
      <c r="AF56" s="7"/>
      <c r="AG56" s="7"/>
    </row>
    <row r="57">
      <c r="A57" s="16"/>
      <c r="B57" s="16"/>
      <c r="C57" s="16"/>
      <c r="D57" s="16"/>
      <c r="E57" s="16"/>
      <c r="F57" s="64" t="s">
        <v>126</v>
      </c>
      <c r="G57" s="65" t="s">
        <v>124</v>
      </c>
      <c r="H57" s="66" t="s">
        <v>127</v>
      </c>
      <c r="I57" s="7"/>
      <c r="J57" s="67"/>
      <c r="K57" s="65">
        <v>4.0</v>
      </c>
      <c r="L57" s="66"/>
      <c r="M57" s="7"/>
      <c r="N57" s="60">
        <v>2.0</v>
      </c>
      <c r="O57" s="60" t="s">
        <v>120</v>
      </c>
      <c r="P57" s="7"/>
      <c r="Q57" s="7"/>
      <c r="R57" s="7"/>
      <c r="S57" s="7"/>
      <c r="T57" s="7"/>
      <c r="U57" s="68"/>
      <c r="V57" s="68"/>
      <c r="W57" s="68"/>
      <c r="X57" s="68"/>
      <c r="Y57" s="68"/>
      <c r="Z57" s="65">
        <v>3.0</v>
      </c>
      <c r="AA57" s="7"/>
      <c r="AB57" s="60">
        <v>2.0</v>
      </c>
      <c r="AC57" s="60"/>
      <c r="AD57" s="7"/>
      <c r="AE57" s="7"/>
      <c r="AF57" s="7"/>
      <c r="AG57" s="7"/>
    </row>
    <row r="58">
      <c r="A58" s="16"/>
      <c r="B58" s="16"/>
      <c r="C58" s="16"/>
      <c r="D58" s="16"/>
      <c r="E58" s="16"/>
      <c r="F58" s="69" t="s">
        <v>102</v>
      </c>
      <c r="G58" s="70" t="s">
        <v>128</v>
      </c>
      <c r="H58" s="71" t="s">
        <v>129</v>
      </c>
      <c r="I58" s="7"/>
      <c r="J58" s="69">
        <v>3.0</v>
      </c>
      <c r="K58" s="72"/>
      <c r="L58" s="73"/>
      <c r="M58" s="7"/>
      <c r="N58" s="60">
        <v>3.0</v>
      </c>
      <c r="O58" s="60" t="s">
        <v>102</v>
      </c>
      <c r="P58" s="7"/>
      <c r="Q58" s="7"/>
      <c r="R58" s="7"/>
      <c r="S58" s="7"/>
      <c r="T58" s="7"/>
      <c r="U58" s="65"/>
      <c r="V58" s="65"/>
      <c r="W58" s="65"/>
      <c r="X58" s="65"/>
      <c r="Y58" s="65"/>
      <c r="Z58" s="65"/>
      <c r="AA58" s="7"/>
      <c r="AB58" s="60">
        <v>3.0</v>
      </c>
      <c r="AC58" s="60" t="s">
        <v>124</v>
      </c>
      <c r="AD58" s="7"/>
      <c r="AE58" s="7"/>
      <c r="AF58" s="7"/>
      <c r="AG58" s="7"/>
    </row>
    <row r="59">
      <c r="A59" s="16"/>
      <c r="B59" s="16"/>
      <c r="C59" s="16"/>
      <c r="D59" s="16"/>
      <c r="E59" s="16"/>
      <c r="F59" s="7"/>
      <c r="G59" s="7"/>
      <c r="H59" s="7"/>
      <c r="I59" s="7"/>
      <c r="J59" s="7"/>
      <c r="K59" s="7"/>
      <c r="L59" s="7"/>
      <c r="M59" s="7"/>
      <c r="N59" s="60">
        <v>4.0</v>
      </c>
      <c r="O59" s="60" t="s">
        <v>124</v>
      </c>
      <c r="P59" s="7"/>
      <c r="Q59" s="7"/>
      <c r="R59" s="7"/>
      <c r="S59" s="7"/>
      <c r="T59" s="7"/>
      <c r="U59" s="61"/>
      <c r="V59" s="62"/>
      <c r="W59" s="62"/>
      <c r="X59" s="62"/>
      <c r="Y59" s="62"/>
      <c r="Z59" s="63"/>
      <c r="AA59" s="7"/>
      <c r="AB59" s="60">
        <v>4.0</v>
      </c>
      <c r="AC59" s="60" t="s">
        <v>130</v>
      </c>
      <c r="AD59" s="7"/>
      <c r="AE59" s="7"/>
      <c r="AF59" s="7"/>
      <c r="AG59" s="7"/>
    </row>
    <row r="60">
      <c r="A60" s="16"/>
      <c r="B60" s="16"/>
      <c r="C60" s="16"/>
      <c r="D60" s="16"/>
      <c r="E60" s="1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68"/>
      <c r="V60" s="68"/>
      <c r="W60" s="68"/>
      <c r="X60" s="68"/>
      <c r="Y60" s="68"/>
      <c r="Z60" s="65">
        <v>2.0</v>
      </c>
      <c r="AA60" s="7"/>
      <c r="AB60" s="7"/>
      <c r="AC60" s="7"/>
      <c r="AD60" s="7"/>
      <c r="AE60" s="7"/>
      <c r="AF60" s="7"/>
      <c r="AG60" s="7"/>
    </row>
    <row r="61">
      <c r="A61" s="16"/>
      <c r="B61" s="16"/>
      <c r="C61" s="16"/>
      <c r="D61" s="16"/>
      <c r="E61" s="16"/>
      <c r="F61" s="7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65"/>
      <c r="V61" s="65"/>
      <c r="W61" s="65"/>
      <c r="X61" s="65"/>
      <c r="Y61" s="65"/>
      <c r="Z61" s="65"/>
      <c r="AA61" s="7"/>
      <c r="AB61" s="7"/>
      <c r="AC61" s="7"/>
      <c r="AD61" s="7"/>
      <c r="AE61" s="7"/>
      <c r="AF61" s="7"/>
      <c r="AG61" s="7"/>
    </row>
    <row r="62">
      <c r="A62" s="16"/>
      <c r="B62" s="16"/>
      <c r="C62" s="16"/>
      <c r="D62" s="16"/>
      <c r="E62" s="16"/>
      <c r="F62" s="7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5" t="s">
        <v>131</v>
      </c>
      <c r="T62" s="7"/>
      <c r="U62" s="61" t="s">
        <v>132</v>
      </c>
      <c r="V62" s="62" t="s">
        <v>125</v>
      </c>
      <c r="W62" s="62" t="s">
        <v>133</v>
      </c>
      <c r="X62" s="62" t="s">
        <v>133</v>
      </c>
      <c r="Y62" s="62" t="s">
        <v>105</v>
      </c>
      <c r="Z62" s="63" t="s">
        <v>124</v>
      </c>
      <c r="AA62" s="7"/>
      <c r="AB62" s="7"/>
      <c r="AC62" s="7"/>
      <c r="AD62" s="7"/>
      <c r="AE62" s="7"/>
      <c r="AF62" s="7"/>
      <c r="AG62" s="7"/>
    </row>
    <row r="63">
      <c r="A63" s="16"/>
      <c r="B63" s="16"/>
      <c r="C63" s="16"/>
      <c r="D63" s="16"/>
      <c r="E63" s="1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68"/>
      <c r="V63" s="65">
        <v>1.0</v>
      </c>
      <c r="W63" s="68"/>
      <c r="X63" s="68"/>
      <c r="Y63" s="68"/>
      <c r="Z63" s="68"/>
      <c r="AA63" s="7"/>
      <c r="AB63" s="7"/>
      <c r="AC63" s="7"/>
      <c r="AD63" s="7"/>
      <c r="AE63" s="7"/>
      <c r="AF63" s="7"/>
      <c r="AG63" s="7"/>
    </row>
    <row r="64">
      <c r="A64" s="16"/>
      <c r="B64" s="16"/>
      <c r="C64" s="16"/>
      <c r="D64" s="16"/>
      <c r="E64" s="16"/>
      <c r="F64" s="76"/>
      <c r="G64" s="76"/>
      <c r="H64" s="76"/>
      <c r="I64" s="76"/>
      <c r="J64" s="76"/>
      <c r="K64" s="76"/>
      <c r="L64" s="7"/>
      <c r="M64" s="7"/>
      <c r="N64" s="7"/>
      <c r="O64" s="7"/>
      <c r="P64" s="7"/>
      <c r="Q64" s="7"/>
      <c r="R64" s="7"/>
      <c r="S64" s="7"/>
      <c r="T64" s="7"/>
      <c r="U64" s="65"/>
      <c r="V64" s="65"/>
      <c r="W64" s="65"/>
      <c r="X64" s="65"/>
      <c r="Y64" s="65"/>
      <c r="Z64" s="65"/>
      <c r="AA64" s="7"/>
      <c r="AB64" s="7"/>
      <c r="AC64" s="7"/>
      <c r="AD64" s="7"/>
      <c r="AE64" s="7"/>
      <c r="AF64" s="7"/>
      <c r="AG64" s="7"/>
    </row>
    <row r="65">
      <c r="A65" s="16"/>
      <c r="B65" s="16"/>
      <c r="C65" s="16"/>
      <c r="D65" s="16"/>
      <c r="E65" s="16"/>
      <c r="F65" s="7"/>
      <c r="G65" s="7"/>
      <c r="H65" s="7"/>
      <c r="I65" s="7"/>
      <c r="J65" s="7"/>
      <c r="K65" s="76"/>
      <c r="L65" s="7"/>
      <c r="M65" s="7"/>
      <c r="N65" s="7"/>
      <c r="O65" s="7"/>
      <c r="P65" s="7"/>
      <c r="Q65" s="7"/>
      <c r="R65" s="7"/>
      <c r="S65" s="7"/>
      <c r="T65" s="7"/>
      <c r="U65" s="61" t="s">
        <v>134</v>
      </c>
      <c r="V65" s="62" t="s">
        <v>130</v>
      </c>
      <c r="W65" s="62" t="s">
        <v>129</v>
      </c>
      <c r="X65" s="62" t="s">
        <v>122</v>
      </c>
      <c r="Y65" s="62" t="s">
        <v>135</v>
      </c>
      <c r="Z65" s="63" t="s">
        <v>136</v>
      </c>
      <c r="AA65" s="7"/>
      <c r="AB65" s="7"/>
      <c r="AC65" s="7"/>
      <c r="AD65" s="7"/>
      <c r="AE65" s="7"/>
      <c r="AF65" s="7"/>
      <c r="AG65" s="7"/>
    </row>
    <row r="66">
      <c r="A66" s="42"/>
      <c r="B66" s="42"/>
      <c r="C66" s="42"/>
      <c r="D66" s="42"/>
      <c r="E66" s="42"/>
      <c r="F66" s="77"/>
      <c r="G66" s="77"/>
      <c r="H66" s="77"/>
      <c r="I66" s="77"/>
      <c r="J66" s="77"/>
      <c r="K66" s="77"/>
      <c r="L66" s="39"/>
      <c r="M66" s="39"/>
      <c r="N66" s="39"/>
      <c r="O66" s="39"/>
      <c r="P66" s="39"/>
      <c r="Q66" s="39"/>
      <c r="R66" s="39"/>
      <c r="S66" s="39"/>
      <c r="T66" s="39"/>
      <c r="U66" s="72"/>
      <c r="V66" s="70">
        <v>4.0</v>
      </c>
      <c r="W66" s="72"/>
      <c r="X66" s="72"/>
      <c r="Y66" s="72"/>
      <c r="Z66" s="72"/>
      <c r="AA66" s="39"/>
      <c r="AB66" s="39"/>
      <c r="AC66" s="39"/>
      <c r="AD66" s="39"/>
      <c r="AE66" s="39"/>
      <c r="AF66" s="39"/>
      <c r="AG66" s="39"/>
    </row>
    <row r="67">
      <c r="A67" s="24" t="s">
        <v>137</v>
      </c>
      <c r="B67" s="14" t="s">
        <v>138</v>
      </c>
      <c r="C67" s="78" t="s">
        <v>139</v>
      </c>
      <c r="D67" s="79" t="s">
        <v>140</v>
      </c>
      <c r="E67" s="78" t="s">
        <v>141</v>
      </c>
      <c r="F67" s="76"/>
      <c r="G67" s="76"/>
      <c r="H67" s="76"/>
      <c r="I67" s="76"/>
      <c r="J67" s="76"/>
      <c r="K67" s="76"/>
      <c r="L67" s="7"/>
      <c r="M67" s="7"/>
      <c r="N67" s="7"/>
      <c r="O67" s="7"/>
      <c r="P67" s="7"/>
      <c r="Q67" s="7"/>
      <c r="R67" s="7"/>
      <c r="S67" s="7"/>
      <c r="T67" s="7"/>
      <c r="U67" s="80"/>
      <c r="V67" s="80"/>
      <c r="W67" s="80"/>
      <c r="X67" s="80"/>
      <c r="Y67" s="80"/>
      <c r="Z67" s="80"/>
      <c r="AA67" s="7"/>
      <c r="AB67" s="7"/>
      <c r="AC67" s="7"/>
      <c r="AD67" s="7"/>
      <c r="AE67" s="7"/>
      <c r="AF67" s="7"/>
      <c r="AG67" s="7"/>
    </row>
    <row r="68">
      <c r="A68" s="16"/>
      <c r="B68" s="81" t="s">
        <v>142</v>
      </c>
      <c r="C68" s="27" t="s">
        <v>143</v>
      </c>
      <c r="D68" s="82" t="s">
        <v>144</v>
      </c>
      <c r="E68" s="29"/>
      <c r="F68" s="7"/>
      <c r="G68" s="7"/>
      <c r="H68" s="7"/>
      <c r="I68" s="7"/>
      <c r="J68" s="7"/>
      <c r="K68" s="76"/>
      <c r="L68" s="7"/>
      <c r="M68" s="7"/>
      <c r="N68" s="7"/>
      <c r="O68" s="7"/>
      <c r="P68" s="7"/>
      <c r="Q68" s="7"/>
      <c r="R68" s="7"/>
      <c r="S68" s="7"/>
      <c r="T68" s="7"/>
      <c r="U68" s="80"/>
      <c r="V68" s="80"/>
      <c r="W68" s="80"/>
      <c r="X68" s="80"/>
      <c r="Y68" s="80"/>
      <c r="Z68" s="80"/>
      <c r="AA68" s="7"/>
      <c r="AB68" s="7"/>
      <c r="AC68" s="7"/>
      <c r="AD68" s="7"/>
      <c r="AE68" s="7"/>
      <c r="AF68" s="7"/>
      <c r="AG68" s="7"/>
    </row>
    <row r="69">
      <c r="A69" s="16"/>
      <c r="B69" s="24" t="s">
        <v>145</v>
      </c>
      <c r="C69" s="27" t="s">
        <v>146</v>
      </c>
      <c r="D69" s="29" t="s">
        <v>147</v>
      </c>
      <c r="E69" s="29" t="s">
        <v>148</v>
      </c>
      <c r="F69" s="76"/>
      <c r="G69" s="76"/>
      <c r="H69" s="76"/>
      <c r="I69" s="76"/>
      <c r="J69" s="76"/>
      <c r="K69" s="76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>
      <c r="A70" s="16"/>
      <c r="B70" s="24" t="s">
        <v>149</v>
      </c>
      <c r="C70" s="27" t="s">
        <v>150</v>
      </c>
      <c r="D70" s="29" t="s">
        <v>151</v>
      </c>
      <c r="E70" s="29" t="s">
        <v>143</v>
      </c>
      <c r="F70" s="76"/>
      <c r="G70" s="76"/>
      <c r="H70" s="76"/>
      <c r="I70" s="76"/>
      <c r="J70" s="76"/>
      <c r="K70" s="76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>
      <c r="A71" s="16"/>
      <c r="B71" s="24" t="s">
        <v>152</v>
      </c>
      <c r="C71" s="27" t="s">
        <v>153</v>
      </c>
      <c r="D71" s="27" t="s">
        <v>153</v>
      </c>
      <c r="E71" s="29" t="s">
        <v>154</v>
      </c>
      <c r="F71" s="83"/>
      <c r="G71" s="7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>
      <c r="A72" s="16"/>
      <c r="B72" s="24" t="s">
        <v>155</v>
      </c>
      <c r="C72" s="27" t="s">
        <v>156</v>
      </c>
      <c r="D72" s="27" t="s">
        <v>157</v>
      </c>
      <c r="E72" s="29"/>
      <c r="F72" s="84"/>
      <c r="G72" s="76"/>
      <c r="H72" s="76"/>
      <c r="I72" s="76"/>
      <c r="J72" s="76"/>
      <c r="K72" s="76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>
      <c r="A73" s="16"/>
      <c r="B73" s="16"/>
      <c r="C73" s="27" t="s">
        <v>148</v>
      </c>
      <c r="D73" s="27" t="s">
        <v>158</v>
      </c>
      <c r="E73" s="29" t="s">
        <v>156</v>
      </c>
      <c r="F73" s="76"/>
      <c r="G73" s="76"/>
      <c r="H73" s="76"/>
      <c r="I73" s="76"/>
      <c r="J73" s="76"/>
      <c r="K73" s="76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>
      <c r="A74" s="16"/>
      <c r="B74" s="16"/>
      <c r="C74" s="27" t="s">
        <v>154</v>
      </c>
      <c r="D74" s="27" t="s">
        <v>159</v>
      </c>
      <c r="E74" s="29" t="s">
        <v>95</v>
      </c>
      <c r="F74" s="83"/>
      <c r="G74" s="7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>
      <c r="A75" s="16"/>
      <c r="B75" s="16"/>
      <c r="C75" s="27" t="s">
        <v>95</v>
      </c>
      <c r="D75" s="82" t="s">
        <v>160</v>
      </c>
      <c r="E75" s="2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>
      <c r="A76" s="16"/>
      <c r="B76" s="16"/>
      <c r="C76" s="85" t="s">
        <v>110</v>
      </c>
      <c r="D76" s="16"/>
      <c r="E76" s="1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>
      <c r="A77" s="16"/>
      <c r="B77" s="24" t="s">
        <v>161</v>
      </c>
      <c r="C77" s="41" t="str">
        <f>CYCLIC_ORDER(C68:E75,C68:C75,E68:E75)</f>
        <v>Burkina Faso</v>
      </c>
      <c r="D77" s="41" t="s">
        <v>147</v>
      </c>
      <c r="E77" s="41" t="s">
        <v>148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>
      <c r="A78" s="16"/>
      <c r="B78" s="24" t="s">
        <v>162</v>
      </c>
      <c r="C78" s="41" t="s">
        <v>148</v>
      </c>
      <c r="D78" s="41" t="s">
        <v>158</v>
      </c>
      <c r="E78" s="86" t="s">
        <v>156</v>
      </c>
      <c r="F78" s="87"/>
      <c r="G78" s="87"/>
      <c r="H78" s="88"/>
      <c r="I78" s="87"/>
      <c r="J78" s="88"/>
      <c r="K78" s="88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>
      <c r="A79" s="16"/>
      <c r="B79" s="16"/>
      <c r="C79" s="41" t="s">
        <v>156</v>
      </c>
      <c r="D79" s="41" t="s">
        <v>157</v>
      </c>
      <c r="E79" s="86"/>
      <c r="F79" s="88"/>
      <c r="G79" s="88"/>
      <c r="H79" s="88"/>
      <c r="I79" s="88"/>
      <c r="J79" s="88"/>
      <c r="K79" s="88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>
      <c r="A80" s="16"/>
      <c r="B80" s="16"/>
      <c r="C80" s="41" t="s">
        <v>163</v>
      </c>
      <c r="D80" s="41" t="s">
        <v>163</v>
      </c>
      <c r="E80" s="86" t="s">
        <v>163</v>
      </c>
      <c r="F80" s="88"/>
      <c r="G80" s="88"/>
      <c r="H80" s="88"/>
      <c r="I80" s="88"/>
      <c r="J80" s="88"/>
      <c r="K80" s="88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>
      <c r="A81" s="16"/>
      <c r="B81" s="16"/>
      <c r="C81" s="41" t="s">
        <v>150</v>
      </c>
      <c r="D81" s="41" t="s">
        <v>151</v>
      </c>
      <c r="E81" s="86" t="s">
        <v>143</v>
      </c>
      <c r="F81" s="88"/>
      <c r="G81" s="88"/>
      <c r="H81" s="88"/>
      <c r="I81" s="88"/>
      <c r="J81" s="88"/>
      <c r="K81" s="8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>
      <c r="A82" s="16"/>
      <c r="B82" s="16"/>
      <c r="C82" s="41" t="s">
        <v>143</v>
      </c>
      <c r="D82" s="41" t="s">
        <v>144</v>
      </c>
      <c r="E82" s="86"/>
      <c r="F82" s="88"/>
      <c r="G82" s="88"/>
      <c r="H82" s="88"/>
      <c r="I82" s="88"/>
      <c r="J82" s="88"/>
      <c r="K82" s="88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>
      <c r="A83" s="16"/>
      <c r="B83" s="16"/>
      <c r="C83" s="41" t="s">
        <v>163</v>
      </c>
      <c r="D83" s="41" t="s">
        <v>163</v>
      </c>
      <c r="E83" s="86" t="s">
        <v>163</v>
      </c>
      <c r="F83" s="88"/>
      <c r="G83" s="88"/>
      <c r="H83" s="88"/>
      <c r="I83" s="88"/>
      <c r="J83" s="88"/>
      <c r="K83" s="8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>
      <c r="A84" s="16"/>
      <c r="B84" s="16"/>
      <c r="C84" s="41" t="s">
        <v>153</v>
      </c>
      <c r="D84" s="41" t="s">
        <v>153</v>
      </c>
      <c r="E84" s="86" t="s">
        <v>154</v>
      </c>
      <c r="F84" s="88"/>
      <c r="G84" s="88"/>
      <c r="H84" s="88"/>
      <c r="I84" s="88"/>
      <c r="J84" s="88"/>
      <c r="K84" s="88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>
      <c r="A85" s="16"/>
      <c r="B85" s="16"/>
      <c r="C85" s="41" t="s">
        <v>154</v>
      </c>
      <c r="D85" s="41" t="s">
        <v>159</v>
      </c>
      <c r="E85" s="86" t="s">
        <v>95</v>
      </c>
      <c r="F85" s="88"/>
      <c r="G85" s="88"/>
      <c r="H85" s="88"/>
      <c r="I85" s="88"/>
      <c r="J85" s="88"/>
      <c r="K85" s="88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>
      <c r="A86" s="16"/>
      <c r="B86" s="16"/>
      <c r="C86" s="41" t="s">
        <v>95</v>
      </c>
      <c r="D86" s="41" t="s">
        <v>160</v>
      </c>
      <c r="E86" s="86"/>
      <c r="F86" s="88"/>
      <c r="G86" s="88"/>
      <c r="H86" s="88"/>
      <c r="I86" s="88"/>
      <c r="J86" s="88"/>
      <c r="K86" s="88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>
      <c r="A87" s="42"/>
      <c r="B87" s="89"/>
      <c r="C87" s="37" t="s">
        <v>163</v>
      </c>
      <c r="D87" s="37" t="s">
        <v>163</v>
      </c>
      <c r="E87" s="90" t="s">
        <v>163</v>
      </c>
      <c r="F87" s="91"/>
      <c r="G87" s="91"/>
      <c r="H87" s="91"/>
      <c r="I87" s="91"/>
      <c r="J87" s="91"/>
      <c r="K87" s="9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</row>
    <row r="88">
      <c r="A88" s="16" t="s">
        <v>164</v>
      </c>
      <c r="B88" s="92" t="s">
        <v>165</v>
      </c>
      <c r="C88" s="14" t="s">
        <v>117</v>
      </c>
      <c r="D88" s="16"/>
      <c r="E88" s="93"/>
      <c r="F88" s="94" t="s">
        <v>109</v>
      </c>
      <c r="G88" s="88"/>
      <c r="H88" s="88"/>
      <c r="I88" s="88"/>
      <c r="J88" s="88"/>
      <c r="K88" s="88"/>
      <c r="L88" s="7"/>
      <c r="M88" s="7"/>
      <c r="N88" s="94" t="s">
        <v>110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>
      <c r="A89" s="16"/>
      <c r="B89" s="16"/>
      <c r="C89" s="16"/>
      <c r="D89" s="16"/>
      <c r="E89" s="93"/>
      <c r="F89" s="95" t="s">
        <v>132</v>
      </c>
      <c r="G89" s="96"/>
      <c r="H89" s="96"/>
      <c r="I89" s="96"/>
      <c r="J89" s="96"/>
      <c r="K89" s="97" t="s">
        <v>136</v>
      </c>
      <c r="L89" s="98"/>
      <c r="M89" s="7"/>
      <c r="N89" s="99" t="str">
        <f>CROSSWORD_LIST(F89:L94)</f>
        <v>OWO</v>
      </c>
      <c r="O89" s="60"/>
      <c r="P89" s="60"/>
      <c r="Q89" s="7"/>
      <c r="R89" s="17" t="s">
        <v>166</v>
      </c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>
      <c r="A90" s="16"/>
      <c r="B90" s="16"/>
      <c r="C90" s="16"/>
      <c r="D90" s="16"/>
      <c r="E90" s="16"/>
      <c r="F90" s="100" t="s">
        <v>123</v>
      </c>
      <c r="G90" s="101" t="s">
        <v>167</v>
      </c>
      <c r="H90" s="101" t="s">
        <v>123</v>
      </c>
      <c r="I90" s="101"/>
      <c r="J90" s="101" t="s">
        <v>120</v>
      </c>
      <c r="K90" s="101" t="s">
        <v>128</v>
      </c>
      <c r="L90" s="102" t="s">
        <v>120</v>
      </c>
      <c r="M90" s="7"/>
      <c r="N90" s="99" t="s">
        <v>168</v>
      </c>
      <c r="O90" s="60"/>
      <c r="P90" s="60"/>
      <c r="Q90" s="7"/>
      <c r="R90" s="17" t="s">
        <v>169</v>
      </c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>
      <c r="A91" s="16"/>
      <c r="B91" s="16"/>
      <c r="C91" s="16"/>
      <c r="D91" s="16"/>
      <c r="E91" s="16"/>
      <c r="F91" s="103" t="s">
        <v>102</v>
      </c>
      <c r="G91" s="104" t="s">
        <v>123</v>
      </c>
      <c r="H91" s="104" t="s">
        <v>123</v>
      </c>
      <c r="I91" s="104" t="s">
        <v>102</v>
      </c>
      <c r="J91" s="104" t="s">
        <v>105</v>
      </c>
      <c r="K91" s="104" t="s">
        <v>124</v>
      </c>
      <c r="L91" s="105"/>
      <c r="M91" s="7"/>
      <c r="N91" s="99" t="s">
        <v>170</v>
      </c>
      <c r="O91" s="60"/>
      <c r="P91" s="60"/>
      <c r="Q91" s="7"/>
      <c r="R91" s="17" t="s">
        <v>171</v>
      </c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>
      <c r="A92" s="16"/>
      <c r="B92" s="16"/>
      <c r="C92" s="16"/>
      <c r="D92" s="16"/>
      <c r="E92" s="16"/>
      <c r="F92" s="103"/>
      <c r="G92" s="101" t="s">
        <v>167</v>
      </c>
      <c r="H92" s="101" t="s">
        <v>128</v>
      </c>
      <c r="I92" s="101" t="s">
        <v>129</v>
      </c>
      <c r="J92" s="101" t="s">
        <v>105</v>
      </c>
      <c r="K92" s="101" t="s">
        <v>124</v>
      </c>
      <c r="L92" s="102"/>
      <c r="M92" s="7"/>
      <c r="N92" s="99" t="s">
        <v>172</v>
      </c>
      <c r="O92" s="60"/>
      <c r="P92" s="60"/>
      <c r="Q92" s="7"/>
      <c r="R92" s="17" t="s">
        <v>173</v>
      </c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>
      <c r="A93" s="16"/>
      <c r="B93" s="16"/>
      <c r="C93" s="16"/>
      <c r="D93" s="16"/>
      <c r="E93" s="16"/>
      <c r="F93" s="103"/>
      <c r="G93" s="101" t="s">
        <v>133</v>
      </c>
      <c r="H93" s="101"/>
      <c r="I93" s="101" t="s">
        <v>134</v>
      </c>
      <c r="J93" s="104"/>
      <c r="K93" s="101" t="s">
        <v>134</v>
      </c>
      <c r="L93" s="105"/>
      <c r="M93" s="7"/>
      <c r="N93" s="99" t="s">
        <v>174</v>
      </c>
      <c r="O93" s="60"/>
      <c r="P93" s="60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>
      <c r="A94" s="16"/>
      <c r="B94" s="16"/>
      <c r="C94" s="16"/>
      <c r="D94" s="16"/>
      <c r="E94" s="16"/>
      <c r="F94" s="106"/>
      <c r="G94" s="107" t="s">
        <v>120</v>
      </c>
      <c r="H94" s="108"/>
      <c r="I94" s="107"/>
      <c r="J94" s="107" t="s">
        <v>125</v>
      </c>
      <c r="K94" s="107" t="s">
        <v>136</v>
      </c>
      <c r="L94" s="109"/>
      <c r="M94" s="7"/>
      <c r="N94" s="99" t="s">
        <v>175</v>
      </c>
      <c r="O94" s="60"/>
      <c r="P94" s="60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>
      <c r="A95" s="16"/>
      <c r="B95" s="16"/>
      <c r="C95" s="16"/>
      <c r="D95" s="16"/>
      <c r="E95" s="16"/>
      <c r="F95" s="7"/>
      <c r="G95" s="7"/>
      <c r="H95" s="7"/>
      <c r="I95" s="7"/>
      <c r="J95" s="7"/>
      <c r="K95" s="7"/>
      <c r="L95" s="7"/>
      <c r="M95" s="7"/>
      <c r="N95" s="99" t="s">
        <v>176</v>
      </c>
      <c r="O95" s="60"/>
      <c r="P95" s="60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>
      <c r="A96" s="16"/>
      <c r="B96" s="16"/>
      <c r="C96" s="16"/>
      <c r="D96" s="16"/>
      <c r="E96" s="16"/>
      <c r="F96" s="7"/>
      <c r="G96" s="7"/>
      <c r="H96" s="7"/>
      <c r="I96" s="7"/>
      <c r="J96" s="7"/>
      <c r="K96" s="7"/>
      <c r="L96" s="7"/>
      <c r="M96" s="7"/>
      <c r="N96" s="99" t="s">
        <v>177</v>
      </c>
      <c r="O96" s="60"/>
      <c r="P96" s="60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>
      <c r="A97" s="16"/>
      <c r="B97" s="16"/>
      <c r="C97" s="16"/>
      <c r="D97" s="16"/>
      <c r="E97" s="16"/>
      <c r="F97" s="7"/>
      <c r="G97" s="7"/>
      <c r="H97" s="7"/>
      <c r="I97" s="7"/>
      <c r="J97" s="7"/>
      <c r="K97" s="7"/>
      <c r="L97" s="7"/>
      <c r="M97" s="7"/>
      <c r="N97" s="99" t="s">
        <v>178</v>
      </c>
      <c r="O97" s="60"/>
      <c r="P97" s="60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>
      <c r="A98" s="16"/>
      <c r="B98" s="16"/>
      <c r="C98" s="16"/>
      <c r="D98" s="16"/>
      <c r="E98" s="16"/>
      <c r="F98" s="7"/>
      <c r="G98" s="7"/>
      <c r="H98" s="7"/>
      <c r="I98" s="7"/>
      <c r="J98" s="7"/>
      <c r="K98" s="7"/>
      <c r="L98" s="7"/>
      <c r="M98" s="7"/>
      <c r="N98" s="99" t="s">
        <v>179</v>
      </c>
      <c r="O98" s="60"/>
      <c r="P98" s="60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>
      <c r="A99" s="42"/>
      <c r="B99" s="42"/>
      <c r="C99" s="42"/>
      <c r="D99" s="42"/>
      <c r="E99" s="42"/>
      <c r="F99" s="39"/>
      <c r="G99" s="39"/>
      <c r="H99" s="39"/>
      <c r="I99" s="39"/>
      <c r="J99" s="39"/>
      <c r="K99" s="39"/>
      <c r="L99" s="39"/>
      <c r="M99" s="7"/>
      <c r="N99" s="110" t="s">
        <v>180</v>
      </c>
      <c r="O99" s="38"/>
      <c r="P99" s="38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</row>
    <row r="100">
      <c r="A100" s="24" t="s">
        <v>181</v>
      </c>
      <c r="B100" s="14" t="s">
        <v>182</v>
      </c>
      <c r="C100" s="24" t="s">
        <v>183</v>
      </c>
      <c r="D100" s="16"/>
      <c r="E100" s="16"/>
      <c r="G100" s="111"/>
      <c r="H100" s="111"/>
      <c r="I100" s="111"/>
      <c r="J100" s="111"/>
      <c r="K100" s="111"/>
      <c r="L100" s="111"/>
      <c r="M100" s="112" t="s">
        <v>184</v>
      </c>
      <c r="N100" s="113" t="s">
        <v>185</v>
      </c>
      <c r="O100" s="114"/>
      <c r="P100" s="93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>
      <c r="A101" s="16"/>
      <c r="B101" s="16"/>
      <c r="C101" s="16"/>
      <c r="D101" s="16"/>
      <c r="E101" s="16"/>
      <c r="F101" s="115"/>
      <c r="G101" s="116"/>
      <c r="H101" s="116"/>
      <c r="I101" s="116"/>
      <c r="J101" s="117">
        <v>1.0</v>
      </c>
      <c r="K101" s="117">
        <v>2.0</v>
      </c>
      <c r="L101" s="118">
        <v>3.0</v>
      </c>
      <c r="M101" s="93"/>
      <c r="N101" s="119">
        <v>1.0</v>
      </c>
      <c r="O101" s="88" t="s">
        <v>186</v>
      </c>
      <c r="Q101" s="7"/>
      <c r="R101" s="93" t="s">
        <v>187</v>
      </c>
      <c r="S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>
      <c r="A102" s="16"/>
      <c r="B102" s="24" t="s">
        <v>188</v>
      </c>
      <c r="C102" s="16"/>
      <c r="D102" s="16"/>
      <c r="E102" s="16"/>
      <c r="F102" s="120">
        <v>4.0</v>
      </c>
      <c r="G102" s="117">
        <v>5.0</v>
      </c>
      <c r="H102" s="117">
        <v>6.0</v>
      </c>
      <c r="I102" s="116"/>
      <c r="J102" s="117">
        <v>7.0</v>
      </c>
      <c r="K102" s="117"/>
      <c r="L102" s="118"/>
      <c r="M102" s="93"/>
      <c r="N102" s="119">
        <v>4.0</v>
      </c>
      <c r="O102" s="88"/>
      <c r="Q102" s="7"/>
      <c r="R102" s="121" t="s">
        <v>189</v>
      </c>
      <c r="S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>
      <c r="A103" s="16"/>
      <c r="B103" s="24" t="s">
        <v>190</v>
      </c>
      <c r="C103" s="16"/>
      <c r="D103" s="16"/>
      <c r="E103" s="16"/>
      <c r="F103" s="120">
        <v>8.0</v>
      </c>
      <c r="G103" s="117"/>
      <c r="H103" s="117"/>
      <c r="I103" s="117">
        <v>9.0</v>
      </c>
      <c r="J103" s="117"/>
      <c r="K103" s="117"/>
      <c r="L103" s="118"/>
      <c r="M103" s="93"/>
      <c r="N103" s="119">
        <v>7.0</v>
      </c>
      <c r="O103" s="93"/>
      <c r="Q103" s="7"/>
      <c r="R103" s="93" t="s">
        <v>191</v>
      </c>
      <c r="S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>
      <c r="A104" s="16"/>
      <c r="B104" s="24" t="s">
        <v>192</v>
      </c>
      <c r="C104" s="16"/>
      <c r="D104" s="16"/>
      <c r="E104" s="16"/>
      <c r="F104" s="120">
        <v>10.0</v>
      </c>
      <c r="G104" s="117"/>
      <c r="H104" s="117"/>
      <c r="I104" s="117"/>
      <c r="J104" s="117"/>
      <c r="K104" s="117"/>
      <c r="L104" s="118"/>
      <c r="M104" s="93"/>
      <c r="N104" s="119">
        <v>8.0</v>
      </c>
      <c r="O104" s="88" t="s">
        <v>193</v>
      </c>
      <c r="Q104" s="7"/>
      <c r="R104" s="121" t="s">
        <v>194</v>
      </c>
      <c r="S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>
      <c r="A105" s="16"/>
      <c r="B105" s="24" t="s">
        <v>195</v>
      </c>
      <c r="C105" s="16"/>
      <c r="D105" s="16"/>
      <c r="E105" s="16"/>
      <c r="F105" s="120">
        <v>11.0</v>
      </c>
      <c r="G105" s="117"/>
      <c r="H105" s="117"/>
      <c r="I105" s="117"/>
      <c r="J105" s="117"/>
      <c r="K105" s="117"/>
      <c r="L105" s="118"/>
      <c r="M105" s="93"/>
      <c r="N105" s="119">
        <v>10.0</v>
      </c>
      <c r="O105" s="88"/>
      <c r="Q105" s="7"/>
      <c r="R105" s="93" t="s">
        <v>196</v>
      </c>
      <c r="S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>
      <c r="A106" s="16"/>
      <c r="B106" s="24" t="s">
        <v>197</v>
      </c>
      <c r="C106" s="16"/>
      <c r="D106" s="16"/>
      <c r="E106" s="16"/>
      <c r="F106" s="120">
        <v>12.0</v>
      </c>
      <c r="G106" s="117"/>
      <c r="H106" s="117"/>
      <c r="I106" s="116"/>
      <c r="J106" s="117">
        <v>13.0</v>
      </c>
      <c r="K106" s="117"/>
      <c r="L106" s="118"/>
      <c r="M106" s="93"/>
      <c r="N106" s="119">
        <v>11.0</v>
      </c>
      <c r="O106" s="93"/>
      <c r="Q106" s="7"/>
      <c r="R106" s="121" t="s">
        <v>198</v>
      </c>
      <c r="S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>
      <c r="A107" s="16"/>
      <c r="B107" s="24" t="s">
        <v>199</v>
      </c>
      <c r="C107" s="16"/>
      <c r="D107" s="16"/>
      <c r="E107" s="16"/>
      <c r="F107" s="122">
        <v>14.0</v>
      </c>
      <c r="G107" s="123"/>
      <c r="H107" s="123"/>
      <c r="I107" s="124"/>
      <c r="J107" s="124"/>
      <c r="K107" s="124"/>
      <c r="L107" s="125"/>
      <c r="M107" s="93"/>
      <c r="N107" s="119">
        <v>12.0</v>
      </c>
      <c r="O107" s="88"/>
      <c r="Q107" s="7"/>
      <c r="R107" s="121" t="s">
        <v>200</v>
      </c>
      <c r="S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>
      <c r="A108" s="16"/>
      <c r="B108" s="24" t="s">
        <v>201</v>
      </c>
      <c r="C108" s="16"/>
      <c r="D108" s="16"/>
      <c r="E108" s="16"/>
      <c r="F108" s="93"/>
      <c r="G108" s="93"/>
      <c r="H108" s="93"/>
      <c r="I108" s="93"/>
      <c r="J108" s="93"/>
      <c r="K108" s="93"/>
      <c r="L108" s="93"/>
      <c r="M108" s="93"/>
      <c r="N108" s="119">
        <v>13.0</v>
      </c>
      <c r="O108" s="88" t="s">
        <v>202</v>
      </c>
      <c r="Q108" s="7"/>
      <c r="R108" s="121" t="s">
        <v>203</v>
      </c>
      <c r="S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>
      <c r="A109" s="16"/>
      <c r="B109" s="16"/>
      <c r="C109" s="16"/>
      <c r="D109" s="16"/>
      <c r="E109" s="16"/>
      <c r="F109" s="93"/>
      <c r="G109" s="93"/>
      <c r="H109" s="93"/>
      <c r="I109" s="93"/>
      <c r="J109" s="93"/>
      <c r="K109" s="93"/>
      <c r="L109" s="93"/>
      <c r="M109" s="93"/>
      <c r="N109" s="119">
        <v>14.0</v>
      </c>
      <c r="O109" s="88" t="s">
        <v>204</v>
      </c>
      <c r="Q109" s="7"/>
      <c r="R109" s="121" t="s">
        <v>205</v>
      </c>
      <c r="S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>
      <c r="A110" s="16"/>
      <c r="B110" s="16"/>
      <c r="C110" s="16"/>
      <c r="D110" s="16"/>
      <c r="E110" s="16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Q110" s="7"/>
      <c r="R110" s="93"/>
      <c r="S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>
      <c r="A111" s="16"/>
      <c r="B111" s="16"/>
      <c r="C111" s="16"/>
      <c r="D111" s="16"/>
      <c r="E111" s="16"/>
      <c r="F111" s="126" t="s">
        <v>110</v>
      </c>
      <c r="G111" s="111"/>
      <c r="H111" s="111"/>
      <c r="I111" s="111"/>
      <c r="J111" s="111"/>
      <c r="K111" s="111"/>
      <c r="L111" s="111"/>
      <c r="M111" s="93"/>
      <c r="N111" s="113" t="s">
        <v>206</v>
      </c>
      <c r="O111" s="93"/>
      <c r="Q111" s="7"/>
      <c r="R111" s="93"/>
      <c r="S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>
      <c r="A112" s="16"/>
      <c r="B112" s="16"/>
      <c r="C112" s="16"/>
      <c r="D112" s="16"/>
      <c r="E112" s="16"/>
      <c r="F112" s="127" t="str">
        <f>MAKE_CROSSWORD(F101:L107,N101:N109,O101:O109,N112:N118,O112:O118)</f>
        <v/>
      </c>
      <c r="G112" s="128" t="s">
        <v>163</v>
      </c>
      <c r="H112" s="128" t="s">
        <v>163</v>
      </c>
      <c r="I112" s="128" t="s">
        <v>163</v>
      </c>
      <c r="J112" s="129" t="s">
        <v>207</v>
      </c>
      <c r="K112" s="129" t="s">
        <v>123</v>
      </c>
      <c r="L112" s="130" t="s">
        <v>121</v>
      </c>
      <c r="M112" s="93"/>
      <c r="N112" s="119">
        <v>1.0</v>
      </c>
      <c r="O112" s="93"/>
      <c r="Q112" s="7"/>
      <c r="R112" s="131" t="s">
        <v>208</v>
      </c>
      <c r="S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>
      <c r="A113" s="16"/>
      <c r="B113" s="16"/>
      <c r="C113" s="16"/>
      <c r="D113" s="16"/>
      <c r="E113" s="16"/>
      <c r="F113" s="132" t="s">
        <v>163</v>
      </c>
      <c r="G113" s="129" t="s">
        <v>132</v>
      </c>
      <c r="H113" s="129" t="s">
        <v>163</v>
      </c>
      <c r="I113" s="128" t="s">
        <v>163</v>
      </c>
      <c r="J113" s="129" t="s">
        <v>163</v>
      </c>
      <c r="K113" s="129" t="s">
        <v>163</v>
      </c>
      <c r="L113" s="130" t="s">
        <v>163</v>
      </c>
      <c r="M113" s="93"/>
      <c r="N113" s="119">
        <v>2.0</v>
      </c>
      <c r="O113" s="93"/>
      <c r="Q113" s="7"/>
      <c r="R113" s="121" t="s">
        <v>209</v>
      </c>
      <c r="S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>
      <c r="A114" s="16"/>
      <c r="B114" s="16"/>
      <c r="C114" s="16"/>
      <c r="D114" s="16"/>
      <c r="E114" s="16"/>
      <c r="F114" s="132" t="s">
        <v>132</v>
      </c>
      <c r="G114" s="129" t="s">
        <v>210</v>
      </c>
      <c r="H114" s="129" t="s">
        <v>130</v>
      </c>
      <c r="I114" s="129" t="s">
        <v>136</v>
      </c>
      <c r="J114" s="129" t="s">
        <v>105</v>
      </c>
      <c r="K114" s="129" t="s">
        <v>124</v>
      </c>
      <c r="L114" s="130" t="s">
        <v>211</v>
      </c>
      <c r="M114" s="93"/>
      <c r="N114" s="119">
        <v>3.0</v>
      </c>
      <c r="O114" s="93"/>
      <c r="Q114" s="7"/>
      <c r="R114" s="121" t="s">
        <v>212</v>
      </c>
      <c r="S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>
      <c r="A115" s="16"/>
      <c r="B115" s="16"/>
      <c r="C115" s="16"/>
      <c r="D115" s="16"/>
      <c r="E115" s="16"/>
      <c r="F115" s="132" t="s">
        <v>163</v>
      </c>
      <c r="G115" s="129" t="s">
        <v>120</v>
      </c>
      <c r="H115" s="129" t="s">
        <v>163</v>
      </c>
      <c r="I115" s="129" t="s">
        <v>163</v>
      </c>
      <c r="J115" s="129" t="s">
        <v>163</v>
      </c>
      <c r="K115" s="129" t="s">
        <v>163</v>
      </c>
      <c r="L115" s="130" t="s">
        <v>163</v>
      </c>
      <c r="M115" s="93"/>
      <c r="N115" s="119">
        <v>4.0</v>
      </c>
      <c r="O115" s="93"/>
      <c r="Q115" s="7"/>
      <c r="R115" s="121" t="s">
        <v>213</v>
      </c>
      <c r="S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>
      <c r="A116" s="16"/>
      <c r="B116" s="16"/>
      <c r="C116" s="16"/>
      <c r="D116" s="16"/>
      <c r="E116" s="16"/>
      <c r="F116" s="132" t="s">
        <v>163</v>
      </c>
      <c r="G116" s="129" t="s">
        <v>214</v>
      </c>
      <c r="H116" s="129" t="s">
        <v>163</v>
      </c>
      <c r="I116" s="129" t="s">
        <v>163</v>
      </c>
      <c r="J116" s="129" t="s">
        <v>163</v>
      </c>
      <c r="K116" s="129" t="s">
        <v>163</v>
      </c>
      <c r="L116" s="130" t="s">
        <v>163</v>
      </c>
      <c r="M116" s="93"/>
      <c r="N116" s="119">
        <v>5.0</v>
      </c>
      <c r="O116" s="88" t="s">
        <v>215</v>
      </c>
      <c r="Q116" s="7"/>
      <c r="R116" s="121" t="s">
        <v>216</v>
      </c>
      <c r="S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>
      <c r="A117" s="16"/>
      <c r="B117" s="16"/>
      <c r="C117" s="16"/>
      <c r="D117" s="16"/>
      <c r="E117" s="16"/>
      <c r="F117" s="132" t="s">
        <v>163</v>
      </c>
      <c r="G117" s="129" t="s">
        <v>122</v>
      </c>
      <c r="H117" s="129" t="s">
        <v>163</v>
      </c>
      <c r="I117" s="128" t="s">
        <v>163</v>
      </c>
      <c r="J117" s="129" t="s">
        <v>124</v>
      </c>
      <c r="K117" s="129" t="s">
        <v>211</v>
      </c>
      <c r="L117" s="130" t="s">
        <v>124</v>
      </c>
      <c r="M117" s="93"/>
      <c r="N117" s="119">
        <v>6.0</v>
      </c>
      <c r="O117" s="93"/>
      <c r="Q117" s="7"/>
      <c r="R117" s="121" t="s">
        <v>217</v>
      </c>
      <c r="S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>
      <c r="A118" s="42"/>
      <c r="B118" s="42"/>
      <c r="C118" s="42"/>
      <c r="D118" s="42"/>
      <c r="E118" s="42"/>
      <c r="F118" s="133" t="s">
        <v>105</v>
      </c>
      <c r="G118" s="134" t="s">
        <v>124</v>
      </c>
      <c r="H118" s="134" t="s">
        <v>136</v>
      </c>
      <c r="I118" s="135" t="s">
        <v>163</v>
      </c>
      <c r="J118" s="135" t="s">
        <v>163</v>
      </c>
      <c r="K118" s="135" t="s">
        <v>163</v>
      </c>
      <c r="L118" s="136" t="s">
        <v>163</v>
      </c>
      <c r="M118" s="111"/>
      <c r="N118" s="137">
        <v>9.0</v>
      </c>
      <c r="O118" s="138"/>
      <c r="P118" s="139"/>
      <c r="Q118" s="39"/>
      <c r="R118" s="140" t="s">
        <v>218</v>
      </c>
      <c r="S118" s="39"/>
      <c r="T118" s="1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</row>
    <row r="119">
      <c r="A119" s="24" t="s">
        <v>219</v>
      </c>
      <c r="B119" s="14" t="s">
        <v>220</v>
      </c>
      <c r="C119" s="24" t="s">
        <v>183</v>
      </c>
      <c r="D119" s="16"/>
      <c r="E119" s="16"/>
      <c r="F119" s="54" t="s">
        <v>109</v>
      </c>
      <c r="G119" s="7"/>
      <c r="H119" s="7"/>
      <c r="I119" s="7"/>
      <c r="J119" s="7"/>
      <c r="K119" s="7"/>
      <c r="L119" s="7"/>
      <c r="M119" s="54" t="s">
        <v>221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>
      <c r="A120" s="16"/>
      <c r="B120" s="16"/>
      <c r="C120" s="16"/>
      <c r="D120" s="16"/>
      <c r="E120" s="16"/>
      <c r="F120" s="57" t="s">
        <v>120</v>
      </c>
      <c r="G120" s="58" t="s">
        <v>120</v>
      </c>
      <c r="H120" s="58" t="s">
        <v>120</v>
      </c>
      <c r="I120" s="58" t="s">
        <v>120</v>
      </c>
      <c r="J120" s="58" t="s">
        <v>120</v>
      </c>
      <c r="K120" s="59" t="s">
        <v>120</v>
      </c>
      <c r="L120" s="7"/>
      <c r="M120" s="65" t="s">
        <v>120</v>
      </c>
      <c r="N120" s="60">
        <f t="shared" ref="N120:N123" si="3">COMPONENT_COUNT($F$120:$K$125,M120)</f>
        <v>4</v>
      </c>
      <c r="O120" s="7"/>
      <c r="P120" s="7"/>
      <c r="Q120" s="1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>
      <c r="A121" s="16"/>
      <c r="B121" s="141" t="s">
        <v>222</v>
      </c>
      <c r="C121" s="16"/>
      <c r="D121" s="16"/>
      <c r="E121" s="16"/>
      <c r="F121" s="64" t="s">
        <v>120</v>
      </c>
      <c r="G121" s="65" t="s">
        <v>121</v>
      </c>
      <c r="H121" s="65" t="s">
        <v>121</v>
      </c>
      <c r="I121" s="65" t="s">
        <v>121</v>
      </c>
      <c r="J121" s="65" t="s">
        <v>122</v>
      </c>
      <c r="K121" s="66" t="s">
        <v>122</v>
      </c>
      <c r="L121" s="7"/>
      <c r="M121" s="65" t="s">
        <v>121</v>
      </c>
      <c r="N121" s="60">
        <f t="shared" si="3"/>
        <v>3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>
      <c r="A122" s="16"/>
      <c r="B122" s="16"/>
      <c r="C122" s="16"/>
      <c r="D122" s="16"/>
      <c r="E122" s="16"/>
      <c r="F122" s="64" t="s">
        <v>120</v>
      </c>
      <c r="G122" s="65" t="s">
        <v>122</v>
      </c>
      <c r="H122" s="65" t="s">
        <v>122</v>
      </c>
      <c r="I122" s="65" t="s">
        <v>122</v>
      </c>
      <c r="J122" s="65" t="s">
        <v>122</v>
      </c>
      <c r="K122" s="66" t="s">
        <v>121</v>
      </c>
      <c r="L122" s="7"/>
      <c r="M122" s="65" t="s">
        <v>122</v>
      </c>
      <c r="N122" s="60">
        <f t="shared" si="3"/>
        <v>1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>
      <c r="A123" s="16"/>
      <c r="B123" s="16"/>
      <c r="C123" s="16"/>
      <c r="D123" s="16"/>
      <c r="E123" s="16"/>
      <c r="F123" s="64" t="s">
        <v>121</v>
      </c>
      <c r="G123" s="65" t="s">
        <v>120</v>
      </c>
      <c r="H123" s="65" t="s">
        <v>122</v>
      </c>
      <c r="I123" s="65" t="s">
        <v>120</v>
      </c>
      <c r="J123" s="65" t="s">
        <v>122</v>
      </c>
      <c r="K123" s="66" t="s">
        <v>121</v>
      </c>
      <c r="L123" s="7"/>
      <c r="M123" s="65" t="s">
        <v>126</v>
      </c>
      <c r="N123" s="60">
        <f t="shared" si="3"/>
        <v>0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>
      <c r="A124" s="16"/>
      <c r="B124" s="16"/>
      <c r="C124" s="16"/>
      <c r="D124" s="16"/>
      <c r="E124" s="16"/>
      <c r="F124" s="64" t="s">
        <v>121</v>
      </c>
      <c r="G124" s="65" t="s">
        <v>120</v>
      </c>
      <c r="H124" s="65" t="s">
        <v>122</v>
      </c>
      <c r="I124" s="65" t="s">
        <v>122</v>
      </c>
      <c r="J124" s="65" t="s">
        <v>122</v>
      </c>
      <c r="K124" s="66" t="s">
        <v>121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>
      <c r="A125" s="42"/>
      <c r="B125" s="42"/>
      <c r="C125" s="42"/>
      <c r="D125" s="42"/>
      <c r="E125" s="42"/>
      <c r="F125" s="69" t="s">
        <v>121</v>
      </c>
      <c r="G125" s="70" t="s">
        <v>121</v>
      </c>
      <c r="H125" s="70" t="s">
        <v>120</v>
      </c>
      <c r="I125" s="70" t="s">
        <v>120</v>
      </c>
      <c r="J125" s="70" t="s">
        <v>121</v>
      </c>
      <c r="K125" s="71" t="s">
        <v>121</v>
      </c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</row>
    <row r="126">
      <c r="A126" s="24" t="s">
        <v>223</v>
      </c>
      <c r="B126" s="14" t="s">
        <v>224</v>
      </c>
      <c r="C126" s="24"/>
      <c r="D126" s="16"/>
      <c r="E126" s="1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>
      <c r="A127" s="42"/>
      <c r="B127" s="142" t="s">
        <v>225</v>
      </c>
      <c r="C127" s="42"/>
      <c r="D127" s="42"/>
      <c r="E127" s="42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</row>
    <row r="128">
      <c r="A128" s="16"/>
      <c r="B128" s="16"/>
      <c r="C128" s="16"/>
      <c r="D128" s="16"/>
      <c r="E128" s="1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>
      <c r="A129" s="16"/>
      <c r="B129" s="16"/>
      <c r="C129" s="16"/>
      <c r="D129" s="16"/>
      <c r="E129" s="1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>
      <c r="A130" s="16"/>
      <c r="B130" s="16"/>
      <c r="C130" s="16"/>
      <c r="D130" s="16"/>
      <c r="E130" s="1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>
      <c r="A131" s="16"/>
      <c r="B131" s="16"/>
      <c r="C131" s="16"/>
      <c r="D131" s="16"/>
      <c r="E131" s="1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>
      <c r="A132" s="16"/>
      <c r="B132" s="16"/>
      <c r="C132" s="16"/>
      <c r="D132" s="16"/>
      <c r="E132" s="1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>
      <c r="A133" s="16"/>
      <c r="B133" s="16"/>
      <c r="C133" s="16"/>
      <c r="D133" s="16"/>
      <c r="E133" s="1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>
      <c r="A134" s="16"/>
      <c r="B134" s="16"/>
      <c r="C134" s="16"/>
      <c r="D134" s="16"/>
      <c r="E134" s="1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>
      <c r="A135" s="16"/>
      <c r="B135" s="16"/>
      <c r="C135" s="16"/>
      <c r="D135" s="16"/>
      <c r="E135" s="1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>
      <c r="A136" s="16"/>
      <c r="B136" s="16"/>
      <c r="C136" s="16"/>
      <c r="D136" s="16"/>
      <c r="E136" s="1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>
      <c r="A137" s="16"/>
      <c r="B137" s="16"/>
      <c r="C137" s="16"/>
      <c r="D137" s="16"/>
      <c r="E137" s="1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>
      <c r="A138" s="16"/>
      <c r="B138" s="16"/>
      <c r="C138" s="16"/>
      <c r="D138" s="16"/>
      <c r="E138" s="1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>
      <c r="A139" s="16"/>
      <c r="B139" s="16"/>
      <c r="C139" s="16"/>
      <c r="D139" s="16"/>
      <c r="E139" s="1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>
      <c r="A140" s="16"/>
      <c r="B140" s="16"/>
      <c r="C140" s="16"/>
      <c r="D140" s="16"/>
      <c r="E140" s="1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>
      <c r="A141" s="16"/>
      <c r="B141" s="16"/>
      <c r="C141" s="16"/>
      <c r="D141" s="16"/>
      <c r="E141" s="1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>
      <c r="A142" s="16"/>
      <c r="B142" s="16"/>
      <c r="C142" s="16"/>
      <c r="D142" s="16"/>
      <c r="E142" s="1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>
      <c r="A143" s="16"/>
      <c r="B143" s="16"/>
      <c r="C143" s="16"/>
      <c r="D143" s="16"/>
      <c r="E143" s="1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>
      <c r="A144" s="16"/>
      <c r="B144" s="16"/>
      <c r="C144" s="16"/>
      <c r="D144" s="16"/>
      <c r="E144" s="1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>
      <c r="A145" s="16"/>
      <c r="B145" s="16"/>
      <c r="C145" s="16"/>
      <c r="D145" s="16"/>
      <c r="E145" s="1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>
      <c r="A146" s="16"/>
      <c r="B146" s="16"/>
      <c r="C146" s="16"/>
      <c r="D146" s="16"/>
      <c r="E146" s="1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>
      <c r="A147" s="16"/>
      <c r="B147" s="16"/>
      <c r="C147" s="16"/>
      <c r="D147" s="16"/>
      <c r="E147" s="1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>
      <c r="A148" s="16"/>
      <c r="B148" s="16"/>
      <c r="C148" s="16"/>
      <c r="D148" s="16"/>
      <c r="E148" s="1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>
      <c r="A149" s="16"/>
      <c r="B149" s="16"/>
      <c r="C149" s="16"/>
      <c r="D149" s="16"/>
      <c r="E149" s="1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>
      <c r="A150" s="16"/>
      <c r="B150" s="16"/>
      <c r="C150" s="16"/>
      <c r="D150" s="16"/>
      <c r="E150" s="1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>
      <c r="A151" s="16"/>
      <c r="B151" s="16"/>
      <c r="C151" s="16"/>
      <c r="D151" s="16"/>
      <c r="E151" s="1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>
      <c r="A152" s="16"/>
      <c r="B152" s="16"/>
      <c r="C152" s="16"/>
      <c r="D152" s="16"/>
      <c r="E152" s="1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>
      <c r="A153" s="16"/>
      <c r="B153" s="16"/>
      <c r="C153" s="16"/>
      <c r="D153" s="16"/>
      <c r="E153" s="1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>
      <c r="A154" s="16"/>
      <c r="B154" s="16"/>
      <c r="C154" s="16"/>
      <c r="D154" s="16"/>
      <c r="E154" s="1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>
      <c r="A155" s="16"/>
      <c r="B155" s="16"/>
      <c r="C155" s="16"/>
      <c r="D155" s="16"/>
      <c r="E155" s="1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>
      <c r="A156" s="16"/>
      <c r="B156" s="16"/>
      <c r="C156" s="16"/>
      <c r="D156" s="16"/>
      <c r="E156" s="1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>
      <c r="A157" s="16"/>
      <c r="B157" s="16"/>
      <c r="C157" s="16"/>
      <c r="D157" s="16"/>
      <c r="E157" s="1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>
      <c r="A158" s="16"/>
      <c r="B158" s="16"/>
      <c r="C158" s="16"/>
      <c r="D158" s="16"/>
      <c r="E158" s="1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>
      <c r="A159" s="16"/>
      <c r="B159" s="16"/>
      <c r="C159" s="16"/>
      <c r="D159" s="16"/>
      <c r="E159" s="1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>
      <c r="A160" s="16"/>
      <c r="B160" s="16"/>
      <c r="C160" s="16"/>
      <c r="D160" s="16"/>
      <c r="E160" s="1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>
      <c r="A161" s="16"/>
      <c r="B161" s="16"/>
      <c r="C161" s="16"/>
      <c r="D161" s="16"/>
      <c r="E161" s="1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>
      <c r="A162" s="16"/>
      <c r="B162" s="16"/>
      <c r="C162" s="16"/>
      <c r="D162" s="16"/>
      <c r="E162" s="1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>
      <c r="A163" s="16"/>
      <c r="B163" s="16"/>
      <c r="C163" s="16"/>
      <c r="D163" s="16"/>
      <c r="E163" s="1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>
      <c r="A164" s="16"/>
      <c r="B164" s="16"/>
      <c r="C164" s="16"/>
      <c r="D164" s="16"/>
      <c r="E164" s="1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>
      <c r="A165" s="16"/>
      <c r="B165" s="16"/>
      <c r="C165" s="16"/>
      <c r="D165" s="16"/>
      <c r="E165" s="1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>
      <c r="A166" s="16"/>
      <c r="B166" s="16"/>
      <c r="C166" s="16"/>
      <c r="D166" s="16"/>
      <c r="E166" s="1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>
      <c r="A167" s="16"/>
      <c r="B167" s="16"/>
      <c r="C167" s="16"/>
      <c r="D167" s="16"/>
      <c r="E167" s="1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>
      <c r="A168" s="16"/>
      <c r="B168" s="16"/>
      <c r="C168" s="16"/>
      <c r="D168" s="16"/>
      <c r="E168" s="1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>
      <c r="A169" s="16"/>
      <c r="B169" s="16"/>
      <c r="C169" s="16"/>
      <c r="D169" s="16"/>
      <c r="E169" s="1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>
      <c r="A170" s="16"/>
      <c r="B170" s="16"/>
      <c r="C170" s="16"/>
      <c r="D170" s="16"/>
      <c r="E170" s="1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>
      <c r="A171" s="16"/>
      <c r="B171" s="16"/>
      <c r="C171" s="16"/>
      <c r="D171" s="16"/>
      <c r="E171" s="1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>
      <c r="A172" s="16"/>
      <c r="B172" s="16"/>
      <c r="C172" s="16"/>
      <c r="D172" s="16"/>
      <c r="E172" s="1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>
      <c r="A173" s="16"/>
      <c r="B173" s="16"/>
      <c r="C173" s="16"/>
      <c r="D173" s="16"/>
      <c r="E173" s="1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>
      <c r="A174" s="16"/>
      <c r="B174" s="16"/>
      <c r="C174" s="16"/>
      <c r="D174" s="16"/>
      <c r="E174" s="1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>
      <c r="A175" s="16"/>
      <c r="B175" s="16"/>
      <c r="C175" s="16"/>
      <c r="D175" s="16"/>
      <c r="E175" s="1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>
      <c r="A176" s="16"/>
      <c r="B176" s="16"/>
      <c r="C176" s="16"/>
      <c r="D176" s="16"/>
      <c r="E176" s="1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>
      <c r="A177" s="16"/>
      <c r="B177" s="16"/>
      <c r="C177" s="16"/>
      <c r="D177" s="16"/>
      <c r="E177" s="1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>
      <c r="A178" s="16"/>
      <c r="B178" s="16"/>
      <c r="C178" s="16"/>
      <c r="D178" s="16"/>
      <c r="E178" s="1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>
      <c r="A179" s="16"/>
      <c r="B179" s="16"/>
      <c r="C179" s="16"/>
      <c r="D179" s="16"/>
      <c r="E179" s="1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>
      <c r="A180" s="16"/>
      <c r="B180" s="16"/>
      <c r="C180" s="16"/>
      <c r="D180" s="16"/>
      <c r="E180" s="1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>
      <c r="A181" s="16"/>
      <c r="B181" s="16"/>
      <c r="C181" s="16"/>
      <c r="D181" s="16"/>
      <c r="E181" s="1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>
      <c r="A182" s="16"/>
      <c r="B182" s="16"/>
      <c r="C182" s="16"/>
      <c r="D182" s="16"/>
      <c r="E182" s="1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>
      <c r="A183" s="16"/>
      <c r="B183" s="16"/>
      <c r="C183" s="16"/>
      <c r="D183" s="16"/>
      <c r="E183" s="1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>
      <c r="A184" s="16"/>
      <c r="B184" s="16"/>
      <c r="C184" s="16"/>
      <c r="D184" s="16"/>
      <c r="E184" s="1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>
      <c r="A185" s="16"/>
      <c r="B185" s="16"/>
      <c r="C185" s="16"/>
      <c r="D185" s="16"/>
      <c r="E185" s="1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>
      <c r="A186" s="16"/>
      <c r="B186" s="16"/>
      <c r="C186" s="16"/>
      <c r="D186" s="16"/>
      <c r="E186" s="1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>
      <c r="A187" s="16"/>
      <c r="B187" s="16"/>
      <c r="C187" s="16"/>
      <c r="D187" s="16"/>
      <c r="E187" s="1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>
      <c r="A188" s="16"/>
      <c r="B188" s="16"/>
      <c r="C188" s="16"/>
      <c r="D188" s="16"/>
      <c r="E188" s="1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>
      <c r="A189" s="16"/>
      <c r="B189" s="16"/>
      <c r="C189" s="16"/>
      <c r="D189" s="16"/>
      <c r="E189" s="1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>
      <c r="A190" s="16"/>
      <c r="B190" s="16"/>
      <c r="C190" s="16"/>
      <c r="D190" s="16"/>
      <c r="E190" s="1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>
      <c r="A191" s="16"/>
      <c r="B191" s="16"/>
      <c r="C191" s="16"/>
      <c r="D191" s="16"/>
      <c r="E191" s="1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>
      <c r="A192" s="16"/>
      <c r="B192" s="16"/>
      <c r="C192" s="16"/>
      <c r="D192" s="16"/>
      <c r="E192" s="1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>
      <c r="A193" s="16"/>
      <c r="B193" s="16"/>
      <c r="C193" s="16"/>
      <c r="D193" s="16"/>
      <c r="E193" s="1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>
      <c r="A194" s="16"/>
      <c r="B194" s="16"/>
      <c r="C194" s="16"/>
      <c r="D194" s="16"/>
      <c r="E194" s="1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>
      <c r="A195" s="16"/>
      <c r="B195" s="16"/>
      <c r="C195" s="16"/>
      <c r="D195" s="16"/>
      <c r="E195" s="1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>
      <c r="A196" s="16"/>
      <c r="B196" s="16"/>
      <c r="C196" s="16"/>
      <c r="D196" s="16"/>
      <c r="E196" s="1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>
      <c r="A197" s="16"/>
      <c r="B197" s="16"/>
      <c r="C197" s="16"/>
      <c r="D197" s="16"/>
      <c r="E197" s="1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>
      <c r="A198" s="16"/>
      <c r="B198" s="16"/>
      <c r="C198" s="16"/>
      <c r="D198" s="16"/>
      <c r="E198" s="1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>
      <c r="A199" s="16"/>
      <c r="B199" s="16"/>
      <c r="C199" s="16"/>
      <c r="D199" s="16"/>
      <c r="E199" s="1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>
      <c r="A200" s="16"/>
      <c r="B200" s="16"/>
      <c r="C200" s="16"/>
      <c r="D200" s="16"/>
      <c r="E200" s="1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>
      <c r="A201" s="16"/>
      <c r="B201" s="16"/>
      <c r="C201" s="16"/>
      <c r="D201" s="16"/>
      <c r="E201" s="1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>
      <c r="A202" s="16"/>
      <c r="B202" s="16"/>
      <c r="C202" s="16"/>
      <c r="D202" s="16"/>
      <c r="E202" s="1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>
      <c r="A203" s="16"/>
      <c r="B203" s="16"/>
      <c r="C203" s="16"/>
      <c r="D203" s="16"/>
      <c r="E203" s="1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>
      <c r="A204" s="16"/>
      <c r="B204" s="16"/>
      <c r="C204" s="16"/>
      <c r="D204" s="16"/>
      <c r="E204" s="1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>
      <c r="A205" s="16"/>
      <c r="B205" s="16"/>
      <c r="C205" s="16"/>
      <c r="D205" s="16"/>
      <c r="E205" s="1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>
      <c r="A206" s="16"/>
      <c r="B206" s="16"/>
      <c r="C206" s="16"/>
      <c r="D206" s="16"/>
      <c r="E206" s="1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>
      <c r="A207" s="16"/>
      <c r="B207" s="16"/>
      <c r="C207" s="16"/>
      <c r="D207" s="16"/>
      <c r="E207" s="1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>
      <c r="A208" s="16"/>
      <c r="B208" s="16"/>
      <c r="C208" s="16"/>
      <c r="D208" s="16"/>
      <c r="E208" s="1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>
      <c r="A209" s="16"/>
      <c r="B209" s="16"/>
      <c r="C209" s="16"/>
      <c r="D209" s="16"/>
      <c r="E209" s="1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>
      <c r="A210" s="16"/>
      <c r="B210" s="16"/>
      <c r="C210" s="16"/>
      <c r="D210" s="16"/>
      <c r="E210" s="1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>
      <c r="A211" s="16"/>
      <c r="B211" s="16"/>
      <c r="C211" s="16"/>
      <c r="D211" s="16"/>
      <c r="E211" s="1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>
      <c r="A212" s="16"/>
      <c r="B212" s="16"/>
      <c r="C212" s="16"/>
      <c r="D212" s="16"/>
      <c r="E212" s="1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>
      <c r="A213" s="16"/>
      <c r="B213" s="16"/>
      <c r="C213" s="16"/>
      <c r="D213" s="16"/>
      <c r="E213" s="1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>
      <c r="A214" s="16"/>
      <c r="B214" s="16"/>
      <c r="C214" s="16"/>
      <c r="D214" s="16"/>
      <c r="E214" s="1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>
      <c r="A215" s="16"/>
      <c r="B215" s="16"/>
      <c r="C215" s="16"/>
      <c r="D215" s="16"/>
      <c r="E215" s="1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>
      <c r="A216" s="16"/>
      <c r="B216" s="16"/>
      <c r="C216" s="16"/>
      <c r="D216" s="16"/>
      <c r="E216" s="1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>
      <c r="A217" s="16"/>
      <c r="B217" s="16"/>
      <c r="C217" s="16"/>
      <c r="D217" s="16"/>
      <c r="E217" s="1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>
      <c r="A218" s="16"/>
      <c r="B218" s="16"/>
      <c r="C218" s="16"/>
      <c r="D218" s="16"/>
      <c r="E218" s="1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>
      <c r="A219" s="16"/>
      <c r="B219" s="16"/>
      <c r="C219" s="16"/>
      <c r="D219" s="16"/>
      <c r="E219" s="1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>
      <c r="A220" s="16"/>
      <c r="B220" s="16"/>
      <c r="C220" s="16"/>
      <c r="D220" s="16"/>
      <c r="E220" s="1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>
      <c r="A221" s="16"/>
      <c r="B221" s="16"/>
      <c r="C221" s="16"/>
      <c r="D221" s="16"/>
      <c r="E221" s="1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>
      <c r="A222" s="16"/>
      <c r="B222" s="16"/>
      <c r="C222" s="16"/>
      <c r="D222" s="16"/>
      <c r="E222" s="1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>
      <c r="A223" s="16"/>
      <c r="B223" s="16"/>
      <c r="C223" s="16"/>
      <c r="D223" s="16"/>
      <c r="E223" s="1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>
      <c r="A224" s="16"/>
      <c r="B224" s="16"/>
      <c r="C224" s="16"/>
      <c r="D224" s="16"/>
      <c r="E224" s="1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>
      <c r="A225" s="16"/>
      <c r="B225" s="16"/>
      <c r="C225" s="16"/>
      <c r="D225" s="16"/>
      <c r="E225" s="1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>
      <c r="A226" s="16"/>
      <c r="B226" s="16"/>
      <c r="C226" s="16"/>
      <c r="D226" s="16"/>
      <c r="E226" s="1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>
      <c r="A227" s="16"/>
      <c r="B227" s="16"/>
      <c r="C227" s="16"/>
      <c r="D227" s="16"/>
      <c r="E227" s="1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>
      <c r="A228" s="16"/>
      <c r="B228" s="16"/>
      <c r="C228" s="16"/>
      <c r="D228" s="16"/>
      <c r="E228" s="1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>
      <c r="A229" s="16"/>
      <c r="B229" s="16"/>
      <c r="C229" s="16"/>
      <c r="D229" s="16"/>
      <c r="E229" s="1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>
      <c r="A230" s="16"/>
      <c r="B230" s="16"/>
      <c r="C230" s="16"/>
      <c r="D230" s="16"/>
      <c r="E230" s="1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>
      <c r="A231" s="16"/>
      <c r="B231" s="16"/>
      <c r="C231" s="16"/>
      <c r="D231" s="16"/>
      <c r="E231" s="1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>
      <c r="A232" s="16"/>
      <c r="B232" s="16"/>
      <c r="C232" s="16"/>
      <c r="D232" s="16"/>
      <c r="E232" s="1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>
      <c r="A233" s="16"/>
      <c r="B233" s="16"/>
      <c r="C233" s="16"/>
      <c r="D233" s="16"/>
      <c r="E233" s="1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>
      <c r="A234" s="16"/>
      <c r="B234" s="16"/>
      <c r="C234" s="16"/>
      <c r="D234" s="16"/>
      <c r="E234" s="1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>
      <c r="A235" s="16"/>
      <c r="B235" s="16"/>
      <c r="C235" s="16"/>
      <c r="D235" s="16"/>
      <c r="E235" s="1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>
      <c r="A236" s="16"/>
      <c r="B236" s="16"/>
      <c r="C236" s="16"/>
      <c r="D236" s="16"/>
      <c r="E236" s="1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>
      <c r="A237" s="16"/>
      <c r="B237" s="16"/>
      <c r="C237" s="16"/>
      <c r="D237" s="16"/>
      <c r="E237" s="1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>
      <c r="A238" s="16"/>
      <c r="B238" s="16"/>
      <c r="C238" s="16"/>
      <c r="D238" s="16"/>
      <c r="E238" s="1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>
      <c r="A239" s="16"/>
      <c r="B239" s="16"/>
      <c r="C239" s="16"/>
      <c r="D239" s="16"/>
      <c r="E239" s="1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>
      <c r="A240" s="16"/>
      <c r="B240" s="16"/>
      <c r="C240" s="16"/>
      <c r="D240" s="16"/>
      <c r="E240" s="1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>
      <c r="A241" s="16"/>
      <c r="B241" s="16"/>
      <c r="C241" s="16"/>
      <c r="D241" s="16"/>
      <c r="E241" s="1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>
      <c r="A242" s="16"/>
      <c r="B242" s="16"/>
      <c r="C242" s="16"/>
      <c r="D242" s="16"/>
      <c r="E242" s="1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>
      <c r="A243" s="16"/>
      <c r="B243" s="16"/>
      <c r="C243" s="16"/>
      <c r="D243" s="16"/>
      <c r="E243" s="1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>
      <c r="A244" s="16"/>
      <c r="B244" s="16"/>
      <c r="C244" s="16"/>
      <c r="D244" s="16"/>
      <c r="E244" s="1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>
      <c r="A245" s="16"/>
      <c r="B245" s="16"/>
      <c r="C245" s="16"/>
      <c r="D245" s="16"/>
      <c r="E245" s="1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>
      <c r="A246" s="16"/>
      <c r="B246" s="16"/>
      <c r="C246" s="16"/>
      <c r="D246" s="16"/>
      <c r="E246" s="1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>
      <c r="A247" s="16"/>
      <c r="B247" s="16"/>
      <c r="C247" s="16"/>
      <c r="D247" s="16"/>
      <c r="E247" s="1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>
      <c r="A248" s="16"/>
      <c r="B248" s="16"/>
      <c r="C248" s="16"/>
      <c r="D248" s="16"/>
      <c r="E248" s="1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>
      <c r="A249" s="16"/>
      <c r="B249" s="16"/>
      <c r="C249" s="16"/>
      <c r="D249" s="16"/>
      <c r="E249" s="1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>
      <c r="A250" s="16"/>
      <c r="B250" s="16"/>
      <c r="C250" s="16"/>
      <c r="D250" s="16"/>
      <c r="E250" s="1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>
      <c r="A251" s="16"/>
      <c r="B251" s="16"/>
      <c r="C251" s="16"/>
      <c r="D251" s="16"/>
      <c r="E251" s="1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>
      <c r="A252" s="16"/>
      <c r="B252" s="16"/>
      <c r="C252" s="16"/>
      <c r="D252" s="16"/>
      <c r="E252" s="1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>
      <c r="A253" s="16"/>
      <c r="B253" s="16"/>
      <c r="C253" s="16"/>
      <c r="D253" s="16"/>
      <c r="E253" s="1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>
      <c r="A254" s="16"/>
      <c r="B254" s="16"/>
      <c r="C254" s="16"/>
      <c r="D254" s="16"/>
      <c r="E254" s="1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>
      <c r="A255" s="16"/>
      <c r="B255" s="16"/>
      <c r="C255" s="16"/>
      <c r="D255" s="16"/>
      <c r="E255" s="1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>
      <c r="A256" s="16"/>
      <c r="B256" s="16"/>
      <c r="C256" s="16"/>
      <c r="D256" s="16"/>
      <c r="E256" s="1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>
      <c r="A257" s="16"/>
      <c r="B257" s="16"/>
      <c r="C257" s="16"/>
      <c r="D257" s="16"/>
      <c r="E257" s="1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>
      <c r="A258" s="16"/>
      <c r="B258" s="16"/>
      <c r="C258" s="16"/>
      <c r="D258" s="16"/>
      <c r="E258" s="1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>
      <c r="A259" s="16"/>
      <c r="B259" s="16"/>
      <c r="C259" s="16"/>
      <c r="D259" s="16"/>
      <c r="E259" s="1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>
      <c r="A260" s="16"/>
      <c r="B260" s="16"/>
      <c r="C260" s="16"/>
      <c r="D260" s="16"/>
      <c r="E260" s="1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>
      <c r="A261" s="16"/>
      <c r="B261" s="16"/>
      <c r="C261" s="16"/>
      <c r="D261" s="16"/>
      <c r="E261" s="1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>
      <c r="A262" s="16"/>
      <c r="B262" s="16"/>
      <c r="C262" s="16"/>
      <c r="D262" s="16"/>
      <c r="E262" s="1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>
      <c r="A263" s="16"/>
      <c r="B263" s="16"/>
      <c r="C263" s="16"/>
      <c r="D263" s="16"/>
      <c r="E263" s="1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>
      <c r="A264" s="16"/>
      <c r="B264" s="16"/>
      <c r="C264" s="16"/>
      <c r="D264" s="16"/>
      <c r="E264" s="1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>
      <c r="A265" s="16"/>
      <c r="B265" s="16"/>
      <c r="C265" s="16"/>
      <c r="D265" s="16"/>
      <c r="E265" s="1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>
      <c r="A266" s="16"/>
      <c r="B266" s="16"/>
      <c r="C266" s="16"/>
      <c r="D266" s="16"/>
      <c r="E266" s="1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>
      <c r="A267" s="16"/>
      <c r="B267" s="16"/>
      <c r="C267" s="16"/>
      <c r="D267" s="16"/>
      <c r="E267" s="1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>
      <c r="A268" s="16"/>
      <c r="B268" s="16"/>
      <c r="C268" s="16"/>
      <c r="D268" s="16"/>
      <c r="E268" s="1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>
      <c r="A269" s="16"/>
      <c r="B269" s="16"/>
      <c r="C269" s="16"/>
      <c r="D269" s="16"/>
      <c r="E269" s="1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>
      <c r="A270" s="16"/>
      <c r="B270" s="16"/>
      <c r="C270" s="16"/>
      <c r="D270" s="16"/>
      <c r="E270" s="1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>
      <c r="A271" s="16"/>
      <c r="B271" s="16"/>
      <c r="C271" s="16"/>
      <c r="D271" s="16"/>
      <c r="E271" s="1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>
      <c r="A272" s="16"/>
      <c r="B272" s="16"/>
      <c r="C272" s="16"/>
      <c r="D272" s="16"/>
      <c r="E272" s="1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>
      <c r="A273" s="16"/>
      <c r="B273" s="16"/>
      <c r="C273" s="16"/>
      <c r="D273" s="16"/>
      <c r="E273" s="1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>
      <c r="A274" s="16"/>
      <c r="B274" s="16"/>
      <c r="C274" s="16"/>
      <c r="D274" s="16"/>
      <c r="E274" s="1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>
      <c r="A275" s="16"/>
      <c r="B275" s="16"/>
      <c r="C275" s="16"/>
      <c r="D275" s="16"/>
      <c r="E275" s="1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>
      <c r="A276" s="16"/>
      <c r="B276" s="16"/>
      <c r="C276" s="16"/>
      <c r="D276" s="16"/>
      <c r="E276" s="1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>
      <c r="A277" s="16"/>
      <c r="B277" s="16"/>
      <c r="C277" s="16"/>
      <c r="D277" s="16"/>
      <c r="E277" s="1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>
      <c r="A278" s="16"/>
      <c r="B278" s="16"/>
      <c r="C278" s="16"/>
      <c r="D278" s="16"/>
      <c r="E278" s="1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>
      <c r="A279" s="16"/>
      <c r="B279" s="16"/>
      <c r="C279" s="16"/>
      <c r="D279" s="16"/>
      <c r="E279" s="1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>
      <c r="A280" s="16"/>
      <c r="B280" s="16"/>
      <c r="C280" s="16"/>
      <c r="D280" s="16"/>
      <c r="E280" s="1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>
      <c r="A281" s="16"/>
      <c r="B281" s="16"/>
      <c r="C281" s="16"/>
      <c r="D281" s="16"/>
      <c r="E281" s="1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>
      <c r="A282" s="16"/>
      <c r="B282" s="16"/>
      <c r="C282" s="16"/>
      <c r="D282" s="16"/>
      <c r="E282" s="1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>
      <c r="A283" s="16"/>
      <c r="B283" s="16"/>
      <c r="C283" s="16"/>
      <c r="D283" s="16"/>
      <c r="E283" s="1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>
      <c r="A284" s="16"/>
      <c r="B284" s="16"/>
      <c r="C284" s="16"/>
      <c r="D284" s="16"/>
      <c r="E284" s="1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>
      <c r="A285" s="16"/>
      <c r="B285" s="16"/>
      <c r="C285" s="16"/>
      <c r="D285" s="16"/>
      <c r="E285" s="1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>
      <c r="A286" s="16"/>
      <c r="B286" s="16"/>
      <c r="C286" s="16"/>
      <c r="D286" s="16"/>
      <c r="E286" s="1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>
      <c r="A287" s="16"/>
      <c r="B287" s="16"/>
      <c r="C287" s="16"/>
      <c r="D287" s="16"/>
      <c r="E287" s="1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>
      <c r="A288" s="16"/>
      <c r="B288" s="16"/>
      <c r="C288" s="16"/>
      <c r="D288" s="16"/>
      <c r="E288" s="1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>
      <c r="A289" s="16"/>
      <c r="B289" s="16"/>
      <c r="C289" s="16"/>
      <c r="D289" s="16"/>
      <c r="E289" s="1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>
      <c r="A290" s="16"/>
      <c r="B290" s="16"/>
      <c r="C290" s="16"/>
      <c r="D290" s="16"/>
      <c r="E290" s="1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>
      <c r="A291" s="16"/>
      <c r="B291" s="16"/>
      <c r="C291" s="16"/>
      <c r="D291" s="16"/>
      <c r="E291" s="1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>
      <c r="A292" s="16"/>
      <c r="B292" s="16"/>
      <c r="C292" s="16"/>
      <c r="D292" s="16"/>
      <c r="E292" s="1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>
      <c r="A293" s="16"/>
      <c r="B293" s="16"/>
      <c r="C293" s="16"/>
      <c r="D293" s="16"/>
      <c r="E293" s="1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>
      <c r="A294" s="16"/>
      <c r="B294" s="16"/>
      <c r="C294" s="16"/>
      <c r="D294" s="16"/>
      <c r="E294" s="1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>
      <c r="A295" s="16"/>
      <c r="B295" s="16"/>
      <c r="C295" s="16"/>
      <c r="D295" s="16"/>
      <c r="E295" s="1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>
      <c r="A296" s="16"/>
      <c r="B296" s="16"/>
      <c r="C296" s="16"/>
      <c r="D296" s="16"/>
      <c r="E296" s="1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>
      <c r="A297" s="16"/>
      <c r="B297" s="16"/>
      <c r="C297" s="16"/>
      <c r="D297" s="16"/>
      <c r="E297" s="1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>
      <c r="A298" s="16"/>
      <c r="B298" s="16"/>
      <c r="C298" s="16"/>
      <c r="D298" s="16"/>
      <c r="E298" s="1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>
      <c r="A299" s="16"/>
      <c r="B299" s="16"/>
      <c r="C299" s="16"/>
      <c r="D299" s="16"/>
      <c r="E299" s="1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>
      <c r="A300" s="16"/>
      <c r="B300" s="16"/>
      <c r="C300" s="16"/>
      <c r="D300" s="16"/>
      <c r="E300" s="1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>
      <c r="A301" s="16"/>
      <c r="B301" s="16"/>
      <c r="C301" s="16"/>
      <c r="D301" s="16"/>
      <c r="E301" s="1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>
      <c r="A302" s="16"/>
      <c r="B302" s="16"/>
      <c r="C302" s="16"/>
      <c r="D302" s="16"/>
      <c r="E302" s="1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>
      <c r="A303" s="16"/>
      <c r="B303" s="16"/>
      <c r="C303" s="16"/>
      <c r="D303" s="16"/>
      <c r="E303" s="1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>
      <c r="A304" s="16"/>
      <c r="B304" s="16"/>
      <c r="C304" s="16"/>
      <c r="D304" s="16"/>
      <c r="E304" s="1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>
      <c r="A305" s="16"/>
      <c r="B305" s="16"/>
      <c r="C305" s="16"/>
      <c r="D305" s="16"/>
      <c r="E305" s="1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>
      <c r="A306" s="16"/>
      <c r="B306" s="16"/>
      <c r="C306" s="16"/>
      <c r="D306" s="16"/>
      <c r="E306" s="1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>
      <c r="A307" s="16"/>
      <c r="B307" s="16"/>
      <c r="C307" s="16"/>
      <c r="D307" s="16"/>
      <c r="E307" s="1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>
      <c r="A308" s="16"/>
      <c r="B308" s="16"/>
      <c r="C308" s="16"/>
      <c r="D308" s="16"/>
      <c r="E308" s="1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>
      <c r="A309" s="16"/>
      <c r="B309" s="16"/>
      <c r="C309" s="16"/>
      <c r="D309" s="16"/>
      <c r="E309" s="1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>
      <c r="A310" s="16"/>
      <c r="B310" s="16"/>
      <c r="C310" s="16"/>
      <c r="D310" s="16"/>
      <c r="E310" s="1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>
      <c r="A311" s="16"/>
      <c r="B311" s="16"/>
      <c r="C311" s="16"/>
      <c r="D311" s="16"/>
      <c r="E311" s="1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>
      <c r="A312" s="16"/>
      <c r="B312" s="16"/>
      <c r="C312" s="16"/>
      <c r="D312" s="16"/>
      <c r="E312" s="1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>
      <c r="A313" s="16"/>
      <c r="B313" s="16"/>
      <c r="C313" s="16"/>
      <c r="D313" s="16"/>
      <c r="E313" s="1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>
      <c r="A314" s="16"/>
      <c r="B314" s="16"/>
      <c r="C314" s="16"/>
      <c r="D314" s="16"/>
      <c r="E314" s="1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>
      <c r="A315" s="16"/>
      <c r="B315" s="16"/>
      <c r="C315" s="16"/>
      <c r="D315" s="16"/>
      <c r="E315" s="1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>
      <c r="A316" s="16"/>
      <c r="B316" s="16"/>
      <c r="C316" s="16"/>
      <c r="D316" s="16"/>
      <c r="E316" s="1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>
      <c r="A317" s="16"/>
      <c r="B317" s="16"/>
      <c r="C317" s="16"/>
      <c r="D317" s="16"/>
      <c r="E317" s="1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>
      <c r="A318" s="16"/>
      <c r="B318" s="16"/>
      <c r="C318" s="16"/>
      <c r="D318" s="16"/>
      <c r="E318" s="1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>
      <c r="A319" s="16"/>
      <c r="B319" s="16"/>
      <c r="C319" s="16"/>
      <c r="D319" s="16"/>
      <c r="E319" s="1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>
      <c r="A320" s="16"/>
      <c r="B320" s="16"/>
      <c r="C320" s="16"/>
      <c r="D320" s="16"/>
      <c r="E320" s="1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>
      <c r="A321" s="16"/>
      <c r="B321" s="16"/>
      <c r="C321" s="16"/>
      <c r="D321" s="16"/>
      <c r="E321" s="1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>
      <c r="A322" s="16"/>
      <c r="B322" s="16"/>
      <c r="C322" s="16"/>
      <c r="D322" s="16"/>
      <c r="E322" s="1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>
      <c r="A323" s="16"/>
      <c r="B323" s="16"/>
      <c r="C323" s="16"/>
      <c r="D323" s="16"/>
      <c r="E323" s="1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>
      <c r="A324" s="16"/>
      <c r="B324" s="16"/>
      <c r="C324" s="16"/>
      <c r="D324" s="16"/>
      <c r="E324" s="1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>
      <c r="A325" s="16"/>
      <c r="B325" s="16"/>
      <c r="C325" s="16"/>
      <c r="D325" s="16"/>
      <c r="E325" s="1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>
      <c r="A326" s="16"/>
      <c r="B326" s="16"/>
      <c r="C326" s="16"/>
      <c r="D326" s="16"/>
      <c r="E326" s="1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>
      <c r="A327" s="16"/>
      <c r="B327" s="16"/>
      <c r="C327" s="16"/>
      <c r="D327" s="16"/>
      <c r="E327" s="1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>
      <c r="A328" s="16"/>
      <c r="B328" s="16"/>
      <c r="C328" s="16"/>
      <c r="D328" s="16"/>
      <c r="E328" s="1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>
      <c r="A329" s="16"/>
      <c r="B329" s="16"/>
      <c r="C329" s="16"/>
      <c r="D329" s="16"/>
      <c r="E329" s="1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>
      <c r="A330" s="16"/>
      <c r="B330" s="16"/>
      <c r="C330" s="16"/>
      <c r="D330" s="16"/>
      <c r="E330" s="1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>
      <c r="A331" s="16"/>
      <c r="B331" s="16"/>
      <c r="C331" s="16"/>
      <c r="D331" s="16"/>
      <c r="E331" s="1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>
      <c r="A332" s="16"/>
      <c r="B332" s="16"/>
      <c r="C332" s="16"/>
      <c r="D332" s="16"/>
      <c r="E332" s="1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>
      <c r="A333" s="16"/>
      <c r="B333" s="16"/>
      <c r="C333" s="16"/>
      <c r="D333" s="16"/>
      <c r="E333" s="1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>
      <c r="A334" s="16"/>
      <c r="B334" s="16"/>
      <c r="C334" s="16"/>
      <c r="D334" s="16"/>
      <c r="E334" s="1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>
      <c r="A335" s="16"/>
      <c r="B335" s="16"/>
      <c r="C335" s="16"/>
      <c r="D335" s="16"/>
      <c r="E335" s="1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>
      <c r="A336" s="16"/>
      <c r="B336" s="16"/>
      <c r="C336" s="16"/>
      <c r="D336" s="16"/>
      <c r="E336" s="1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>
      <c r="A337" s="16"/>
      <c r="B337" s="16"/>
      <c r="C337" s="16"/>
      <c r="D337" s="16"/>
      <c r="E337" s="1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>
      <c r="A338" s="16"/>
      <c r="B338" s="16"/>
      <c r="C338" s="16"/>
      <c r="D338" s="16"/>
      <c r="E338" s="1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>
      <c r="A339" s="16"/>
      <c r="B339" s="16"/>
      <c r="C339" s="16"/>
      <c r="D339" s="16"/>
      <c r="E339" s="1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>
      <c r="A340" s="16"/>
      <c r="B340" s="16"/>
      <c r="C340" s="16"/>
      <c r="D340" s="16"/>
      <c r="E340" s="1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>
      <c r="A341" s="16"/>
      <c r="B341" s="16"/>
      <c r="C341" s="16"/>
      <c r="D341" s="16"/>
      <c r="E341" s="1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>
      <c r="A342" s="16"/>
      <c r="B342" s="16"/>
      <c r="C342" s="16"/>
      <c r="D342" s="16"/>
      <c r="E342" s="1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>
      <c r="A343" s="16"/>
      <c r="B343" s="16"/>
      <c r="C343" s="16"/>
      <c r="D343" s="16"/>
      <c r="E343" s="1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>
      <c r="A344" s="16"/>
      <c r="B344" s="16"/>
      <c r="C344" s="16"/>
      <c r="D344" s="16"/>
      <c r="E344" s="1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>
      <c r="A345" s="16"/>
      <c r="B345" s="16"/>
      <c r="C345" s="16"/>
      <c r="D345" s="16"/>
      <c r="E345" s="1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>
      <c r="A346" s="16"/>
      <c r="B346" s="16"/>
      <c r="C346" s="16"/>
      <c r="D346" s="16"/>
      <c r="E346" s="1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>
      <c r="A347" s="16"/>
      <c r="B347" s="16"/>
      <c r="C347" s="16"/>
      <c r="D347" s="16"/>
      <c r="E347" s="1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>
      <c r="A348" s="16"/>
      <c r="B348" s="16"/>
      <c r="C348" s="16"/>
      <c r="D348" s="16"/>
      <c r="E348" s="1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>
      <c r="A349" s="16"/>
      <c r="B349" s="16"/>
      <c r="C349" s="16"/>
      <c r="D349" s="16"/>
      <c r="E349" s="1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>
      <c r="A350" s="16"/>
      <c r="B350" s="16"/>
      <c r="C350" s="16"/>
      <c r="D350" s="16"/>
      <c r="E350" s="1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>
      <c r="A351" s="16"/>
      <c r="B351" s="16"/>
      <c r="C351" s="16"/>
      <c r="D351" s="16"/>
      <c r="E351" s="1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>
      <c r="A352" s="16"/>
      <c r="B352" s="16"/>
      <c r="C352" s="16"/>
      <c r="D352" s="16"/>
      <c r="E352" s="1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>
      <c r="A353" s="16"/>
      <c r="B353" s="16"/>
      <c r="C353" s="16"/>
      <c r="D353" s="16"/>
      <c r="E353" s="1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>
      <c r="A354" s="16"/>
      <c r="B354" s="16"/>
      <c r="C354" s="16"/>
      <c r="D354" s="16"/>
      <c r="E354" s="1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>
      <c r="A355" s="16"/>
      <c r="B355" s="16"/>
      <c r="C355" s="16"/>
      <c r="D355" s="16"/>
      <c r="E355" s="1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>
      <c r="A356" s="16"/>
      <c r="B356" s="16"/>
      <c r="C356" s="16"/>
      <c r="D356" s="16"/>
      <c r="E356" s="1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>
      <c r="A357" s="16"/>
      <c r="B357" s="16"/>
      <c r="C357" s="16"/>
      <c r="D357" s="16"/>
      <c r="E357" s="1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>
      <c r="A358" s="16"/>
      <c r="B358" s="16"/>
      <c r="C358" s="16"/>
      <c r="D358" s="16"/>
      <c r="E358" s="1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>
      <c r="A359" s="16"/>
      <c r="B359" s="16"/>
      <c r="C359" s="16"/>
      <c r="D359" s="16"/>
      <c r="E359" s="1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>
      <c r="A360" s="16"/>
      <c r="B360" s="16"/>
      <c r="C360" s="16"/>
      <c r="D360" s="16"/>
      <c r="E360" s="1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>
      <c r="A361" s="16"/>
      <c r="B361" s="16"/>
      <c r="C361" s="16"/>
      <c r="D361" s="16"/>
      <c r="E361" s="1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>
      <c r="A362" s="16"/>
      <c r="B362" s="16"/>
      <c r="C362" s="16"/>
      <c r="D362" s="16"/>
      <c r="E362" s="1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>
      <c r="A363" s="16"/>
      <c r="B363" s="16"/>
      <c r="C363" s="16"/>
      <c r="D363" s="16"/>
      <c r="E363" s="1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>
      <c r="A364" s="16"/>
      <c r="B364" s="16"/>
      <c r="C364" s="16"/>
      <c r="D364" s="16"/>
      <c r="E364" s="1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>
      <c r="A365" s="16"/>
      <c r="B365" s="16"/>
      <c r="C365" s="16"/>
      <c r="D365" s="16"/>
      <c r="E365" s="1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>
      <c r="A366" s="16"/>
      <c r="B366" s="16"/>
      <c r="C366" s="16"/>
      <c r="D366" s="16"/>
      <c r="E366" s="1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>
      <c r="A367" s="16"/>
      <c r="B367" s="16"/>
      <c r="C367" s="16"/>
      <c r="D367" s="16"/>
      <c r="E367" s="1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>
      <c r="A368" s="16"/>
      <c r="B368" s="16"/>
      <c r="C368" s="16"/>
      <c r="D368" s="16"/>
      <c r="E368" s="1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>
      <c r="A369" s="16"/>
      <c r="B369" s="16"/>
      <c r="C369" s="16"/>
      <c r="D369" s="16"/>
      <c r="E369" s="1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>
      <c r="A370" s="16"/>
      <c r="B370" s="16"/>
      <c r="C370" s="16"/>
      <c r="D370" s="16"/>
      <c r="E370" s="1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>
      <c r="A371" s="16"/>
      <c r="B371" s="16"/>
      <c r="C371" s="16"/>
      <c r="D371" s="16"/>
      <c r="E371" s="1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>
      <c r="A372" s="16"/>
      <c r="B372" s="16"/>
      <c r="C372" s="16"/>
      <c r="D372" s="16"/>
      <c r="E372" s="1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>
      <c r="A373" s="16"/>
      <c r="B373" s="16"/>
      <c r="C373" s="16"/>
      <c r="D373" s="16"/>
      <c r="E373" s="1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>
      <c r="A374" s="16"/>
      <c r="B374" s="16"/>
      <c r="C374" s="16"/>
      <c r="D374" s="16"/>
      <c r="E374" s="1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>
      <c r="A375" s="16"/>
      <c r="B375" s="16"/>
      <c r="C375" s="16"/>
      <c r="D375" s="16"/>
      <c r="E375" s="1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>
      <c r="A376" s="16"/>
      <c r="B376" s="16"/>
      <c r="C376" s="16"/>
      <c r="D376" s="16"/>
      <c r="E376" s="1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>
      <c r="A377" s="16"/>
      <c r="B377" s="16"/>
      <c r="C377" s="16"/>
      <c r="D377" s="16"/>
      <c r="E377" s="1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>
      <c r="A378" s="16"/>
      <c r="B378" s="16"/>
      <c r="C378" s="16"/>
      <c r="D378" s="16"/>
      <c r="E378" s="1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>
      <c r="A379" s="16"/>
      <c r="B379" s="16"/>
      <c r="C379" s="16"/>
      <c r="D379" s="16"/>
      <c r="E379" s="1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>
      <c r="A380" s="16"/>
      <c r="B380" s="16"/>
      <c r="C380" s="16"/>
      <c r="D380" s="16"/>
      <c r="E380" s="1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>
      <c r="A381" s="16"/>
      <c r="B381" s="16"/>
      <c r="C381" s="16"/>
      <c r="D381" s="16"/>
      <c r="E381" s="1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>
      <c r="A382" s="16"/>
      <c r="B382" s="16"/>
      <c r="C382" s="16"/>
      <c r="D382" s="16"/>
      <c r="E382" s="1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>
      <c r="A383" s="16"/>
      <c r="B383" s="16"/>
      <c r="C383" s="16"/>
      <c r="D383" s="16"/>
      <c r="E383" s="1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>
      <c r="A384" s="16"/>
      <c r="B384" s="16"/>
      <c r="C384" s="16"/>
      <c r="D384" s="16"/>
      <c r="E384" s="1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>
      <c r="A385" s="16"/>
      <c r="B385" s="16"/>
      <c r="C385" s="16"/>
      <c r="D385" s="16"/>
      <c r="E385" s="1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>
      <c r="A386" s="16"/>
      <c r="B386" s="16"/>
      <c r="C386" s="16"/>
      <c r="D386" s="16"/>
      <c r="E386" s="1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>
      <c r="A387" s="16"/>
      <c r="B387" s="16"/>
      <c r="C387" s="16"/>
      <c r="D387" s="16"/>
      <c r="E387" s="1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>
      <c r="A388" s="16"/>
      <c r="B388" s="16"/>
      <c r="C388" s="16"/>
      <c r="D388" s="16"/>
      <c r="E388" s="1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>
      <c r="A389" s="16"/>
      <c r="B389" s="16"/>
      <c r="C389" s="16"/>
      <c r="D389" s="16"/>
      <c r="E389" s="1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>
      <c r="A390" s="16"/>
      <c r="B390" s="16"/>
      <c r="C390" s="16"/>
      <c r="D390" s="16"/>
      <c r="E390" s="1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>
      <c r="A391" s="16"/>
      <c r="B391" s="16"/>
      <c r="C391" s="16"/>
      <c r="D391" s="16"/>
      <c r="E391" s="1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>
      <c r="A392" s="16"/>
      <c r="B392" s="16"/>
      <c r="C392" s="16"/>
      <c r="D392" s="16"/>
      <c r="E392" s="1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>
      <c r="A393" s="16"/>
      <c r="B393" s="16"/>
      <c r="C393" s="16"/>
      <c r="D393" s="16"/>
      <c r="E393" s="1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>
      <c r="A394" s="16"/>
      <c r="B394" s="16"/>
      <c r="C394" s="16"/>
      <c r="D394" s="16"/>
      <c r="E394" s="1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>
      <c r="A395" s="16"/>
      <c r="B395" s="16"/>
      <c r="C395" s="16"/>
      <c r="D395" s="16"/>
      <c r="E395" s="1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>
      <c r="A396" s="16"/>
      <c r="B396" s="16"/>
      <c r="C396" s="16"/>
      <c r="D396" s="16"/>
      <c r="E396" s="1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>
      <c r="A397" s="16"/>
      <c r="B397" s="16"/>
      <c r="C397" s="16"/>
      <c r="D397" s="16"/>
      <c r="E397" s="1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>
      <c r="A398" s="16"/>
      <c r="B398" s="16"/>
      <c r="C398" s="16"/>
      <c r="D398" s="16"/>
      <c r="E398" s="1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>
      <c r="A399" s="16"/>
      <c r="B399" s="16"/>
      <c r="C399" s="16"/>
      <c r="D399" s="16"/>
      <c r="E399" s="1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>
      <c r="A400" s="16"/>
      <c r="B400" s="16"/>
      <c r="C400" s="16"/>
      <c r="D400" s="16"/>
      <c r="E400" s="1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>
      <c r="A401" s="16"/>
      <c r="B401" s="16"/>
      <c r="C401" s="16"/>
      <c r="D401" s="16"/>
      <c r="E401" s="1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>
      <c r="A402" s="16"/>
      <c r="B402" s="16"/>
      <c r="C402" s="16"/>
      <c r="D402" s="16"/>
      <c r="E402" s="1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>
      <c r="A403" s="16"/>
      <c r="B403" s="16"/>
      <c r="C403" s="16"/>
      <c r="D403" s="16"/>
      <c r="E403" s="1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>
      <c r="A404" s="16"/>
      <c r="B404" s="16"/>
      <c r="C404" s="16"/>
      <c r="D404" s="16"/>
      <c r="E404" s="1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>
      <c r="A405" s="16"/>
      <c r="B405" s="16"/>
      <c r="C405" s="16"/>
      <c r="D405" s="16"/>
      <c r="E405" s="1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>
      <c r="A406" s="16"/>
      <c r="B406" s="16"/>
      <c r="C406" s="16"/>
      <c r="D406" s="16"/>
      <c r="E406" s="1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>
      <c r="A407" s="16"/>
      <c r="B407" s="16"/>
      <c r="C407" s="16"/>
      <c r="D407" s="16"/>
      <c r="E407" s="1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>
      <c r="A408" s="16"/>
      <c r="B408" s="16"/>
      <c r="C408" s="16"/>
      <c r="D408" s="16"/>
      <c r="E408" s="1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>
      <c r="A409" s="16"/>
      <c r="B409" s="16"/>
      <c r="C409" s="16"/>
      <c r="D409" s="16"/>
      <c r="E409" s="1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>
      <c r="A410" s="16"/>
      <c r="B410" s="16"/>
      <c r="C410" s="16"/>
      <c r="D410" s="16"/>
      <c r="E410" s="1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>
      <c r="A411" s="16"/>
      <c r="B411" s="16"/>
      <c r="C411" s="16"/>
      <c r="D411" s="16"/>
      <c r="E411" s="1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>
      <c r="A412" s="16"/>
      <c r="B412" s="16"/>
      <c r="C412" s="16"/>
      <c r="D412" s="16"/>
      <c r="E412" s="1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>
      <c r="A413" s="16"/>
      <c r="B413" s="16"/>
      <c r="C413" s="16"/>
      <c r="D413" s="16"/>
      <c r="E413" s="1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>
      <c r="A414" s="16"/>
      <c r="B414" s="16"/>
      <c r="C414" s="16"/>
      <c r="D414" s="16"/>
      <c r="E414" s="1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>
      <c r="A415" s="16"/>
      <c r="B415" s="16"/>
      <c r="C415" s="16"/>
      <c r="D415" s="16"/>
      <c r="E415" s="1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>
      <c r="A416" s="16"/>
      <c r="B416" s="16"/>
      <c r="C416" s="16"/>
      <c r="D416" s="16"/>
      <c r="E416" s="1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>
      <c r="A417" s="16"/>
      <c r="B417" s="16"/>
      <c r="C417" s="16"/>
      <c r="D417" s="16"/>
      <c r="E417" s="1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>
      <c r="A418" s="16"/>
      <c r="B418" s="16"/>
      <c r="C418" s="16"/>
      <c r="D418" s="16"/>
      <c r="E418" s="1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>
      <c r="A419" s="16"/>
      <c r="B419" s="16"/>
      <c r="C419" s="16"/>
      <c r="D419" s="16"/>
      <c r="E419" s="1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>
      <c r="A420" s="16"/>
      <c r="B420" s="16"/>
      <c r="C420" s="16"/>
      <c r="D420" s="16"/>
      <c r="E420" s="1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>
      <c r="A421" s="16"/>
      <c r="B421" s="16"/>
      <c r="C421" s="16"/>
      <c r="D421" s="16"/>
      <c r="E421" s="1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>
      <c r="A422" s="16"/>
      <c r="B422" s="16"/>
      <c r="C422" s="16"/>
      <c r="D422" s="16"/>
      <c r="E422" s="1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>
      <c r="A423" s="16"/>
      <c r="B423" s="16"/>
      <c r="C423" s="16"/>
      <c r="D423" s="16"/>
      <c r="E423" s="1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>
      <c r="A424" s="16"/>
      <c r="B424" s="16"/>
      <c r="C424" s="16"/>
      <c r="D424" s="16"/>
      <c r="E424" s="1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>
      <c r="A425" s="16"/>
      <c r="B425" s="16"/>
      <c r="C425" s="16"/>
      <c r="D425" s="16"/>
      <c r="E425" s="1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>
      <c r="A426" s="16"/>
      <c r="B426" s="16"/>
      <c r="C426" s="16"/>
      <c r="D426" s="16"/>
      <c r="E426" s="1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>
      <c r="A427" s="16"/>
      <c r="B427" s="16"/>
      <c r="C427" s="16"/>
      <c r="D427" s="16"/>
      <c r="E427" s="1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>
      <c r="A428" s="16"/>
      <c r="B428" s="16"/>
      <c r="C428" s="16"/>
      <c r="D428" s="16"/>
      <c r="E428" s="1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>
      <c r="A429" s="16"/>
      <c r="B429" s="16"/>
      <c r="C429" s="16"/>
      <c r="D429" s="16"/>
      <c r="E429" s="1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>
      <c r="A430" s="16"/>
      <c r="B430" s="16"/>
      <c r="C430" s="16"/>
      <c r="D430" s="16"/>
      <c r="E430" s="1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>
      <c r="A431" s="16"/>
      <c r="B431" s="16"/>
      <c r="C431" s="16"/>
      <c r="D431" s="16"/>
      <c r="E431" s="1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>
      <c r="A432" s="16"/>
      <c r="B432" s="16"/>
      <c r="C432" s="16"/>
      <c r="D432" s="16"/>
      <c r="E432" s="1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>
      <c r="A433" s="16"/>
      <c r="B433" s="16"/>
      <c r="C433" s="16"/>
      <c r="D433" s="16"/>
      <c r="E433" s="1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>
      <c r="A434" s="16"/>
      <c r="B434" s="16"/>
      <c r="C434" s="16"/>
      <c r="D434" s="16"/>
      <c r="E434" s="1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>
      <c r="A435" s="16"/>
      <c r="B435" s="16"/>
      <c r="C435" s="16"/>
      <c r="D435" s="16"/>
      <c r="E435" s="1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>
      <c r="A436" s="16"/>
      <c r="B436" s="16"/>
      <c r="C436" s="16"/>
      <c r="D436" s="16"/>
      <c r="E436" s="1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>
      <c r="A437" s="16"/>
      <c r="B437" s="16"/>
      <c r="C437" s="16"/>
      <c r="D437" s="16"/>
      <c r="E437" s="1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>
      <c r="A438" s="16"/>
      <c r="B438" s="16"/>
      <c r="C438" s="16"/>
      <c r="D438" s="16"/>
      <c r="E438" s="1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>
      <c r="A439" s="16"/>
      <c r="B439" s="16"/>
      <c r="C439" s="16"/>
      <c r="D439" s="16"/>
      <c r="E439" s="1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>
      <c r="A440" s="16"/>
      <c r="B440" s="16"/>
      <c r="C440" s="16"/>
      <c r="D440" s="16"/>
      <c r="E440" s="1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>
      <c r="A441" s="16"/>
      <c r="B441" s="16"/>
      <c r="C441" s="16"/>
      <c r="D441" s="16"/>
      <c r="E441" s="1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>
      <c r="A442" s="16"/>
      <c r="B442" s="16"/>
      <c r="C442" s="16"/>
      <c r="D442" s="16"/>
      <c r="E442" s="1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>
      <c r="A443" s="16"/>
      <c r="B443" s="16"/>
      <c r="C443" s="16"/>
      <c r="D443" s="16"/>
      <c r="E443" s="1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>
      <c r="A444" s="16"/>
      <c r="B444" s="16"/>
      <c r="C444" s="16"/>
      <c r="D444" s="16"/>
      <c r="E444" s="1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>
      <c r="A445" s="16"/>
      <c r="B445" s="16"/>
      <c r="C445" s="16"/>
      <c r="D445" s="16"/>
      <c r="E445" s="1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>
      <c r="A446" s="16"/>
      <c r="B446" s="16"/>
      <c r="C446" s="16"/>
      <c r="D446" s="16"/>
      <c r="E446" s="1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>
      <c r="A447" s="16"/>
      <c r="B447" s="16"/>
      <c r="C447" s="16"/>
      <c r="D447" s="16"/>
      <c r="E447" s="1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>
      <c r="A448" s="16"/>
      <c r="B448" s="16"/>
      <c r="C448" s="16"/>
      <c r="D448" s="16"/>
      <c r="E448" s="1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>
      <c r="A449" s="16"/>
      <c r="B449" s="16"/>
      <c r="C449" s="16"/>
      <c r="D449" s="16"/>
      <c r="E449" s="1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>
      <c r="A450" s="16"/>
      <c r="B450" s="16"/>
      <c r="C450" s="16"/>
      <c r="D450" s="16"/>
      <c r="E450" s="1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>
      <c r="A451" s="16"/>
      <c r="B451" s="16"/>
      <c r="C451" s="16"/>
      <c r="D451" s="16"/>
      <c r="E451" s="1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>
      <c r="A452" s="16"/>
      <c r="B452" s="16"/>
      <c r="C452" s="16"/>
      <c r="D452" s="16"/>
      <c r="E452" s="1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>
      <c r="A453" s="16"/>
      <c r="B453" s="16"/>
      <c r="C453" s="16"/>
      <c r="D453" s="16"/>
      <c r="E453" s="1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>
      <c r="A454" s="16"/>
      <c r="B454" s="16"/>
      <c r="C454" s="16"/>
      <c r="D454" s="16"/>
      <c r="E454" s="1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>
      <c r="A455" s="16"/>
      <c r="B455" s="16"/>
      <c r="C455" s="16"/>
      <c r="D455" s="16"/>
      <c r="E455" s="1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>
      <c r="A456" s="16"/>
      <c r="B456" s="16"/>
      <c r="C456" s="16"/>
      <c r="D456" s="16"/>
      <c r="E456" s="1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>
      <c r="A457" s="16"/>
      <c r="B457" s="16"/>
      <c r="C457" s="16"/>
      <c r="D457" s="16"/>
      <c r="E457" s="1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>
      <c r="A458" s="16"/>
      <c r="B458" s="16"/>
      <c r="C458" s="16"/>
      <c r="D458" s="16"/>
      <c r="E458" s="1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>
      <c r="A459" s="16"/>
      <c r="B459" s="16"/>
      <c r="C459" s="16"/>
      <c r="D459" s="16"/>
      <c r="E459" s="1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>
      <c r="A460" s="16"/>
      <c r="B460" s="16"/>
      <c r="C460" s="16"/>
      <c r="D460" s="16"/>
      <c r="E460" s="1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>
      <c r="A461" s="16"/>
      <c r="B461" s="16"/>
      <c r="C461" s="16"/>
      <c r="D461" s="16"/>
      <c r="E461" s="1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>
      <c r="A462" s="16"/>
      <c r="B462" s="16"/>
      <c r="C462" s="16"/>
      <c r="D462" s="16"/>
      <c r="E462" s="1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>
      <c r="A463" s="16"/>
      <c r="B463" s="16"/>
      <c r="C463" s="16"/>
      <c r="D463" s="16"/>
      <c r="E463" s="1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>
      <c r="A464" s="16"/>
      <c r="B464" s="16"/>
      <c r="C464" s="16"/>
      <c r="D464" s="16"/>
      <c r="E464" s="1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>
      <c r="A465" s="16"/>
      <c r="B465" s="16"/>
      <c r="C465" s="16"/>
      <c r="D465" s="16"/>
      <c r="E465" s="1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>
      <c r="A466" s="16"/>
      <c r="B466" s="16"/>
      <c r="C466" s="16"/>
      <c r="D466" s="16"/>
      <c r="E466" s="1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>
      <c r="A467" s="16"/>
      <c r="B467" s="16"/>
      <c r="C467" s="16"/>
      <c r="D467" s="16"/>
      <c r="E467" s="1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>
      <c r="A468" s="16"/>
      <c r="B468" s="16"/>
      <c r="C468" s="16"/>
      <c r="D468" s="16"/>
      <c r="E468" s="1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>
      <c r="A469" s="16"/>
      <c r="B469" s="16"/>
      <c r="C469" s="16"/>
      <c r="D469" s="16"/>
      <c r="E469" s="1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>
      <c r="A470" s="16"/>
      <c r="B470" s="16"/>
      <c r="C470" s="16"/>
      <c r="D470" s="16"/>
      <c r="E470" s="1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>
      <c r="A471" s="16"/>
      <c r="B471" s="16"/>
      <c r="C471" s="16"/>
      <c r="D471" s="16"/>
      <c r="E471" s="1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>
      <c r="A472" s="16"/>
      <c r="B472" s="16"/>
      <c r="C472" s="16"/>
      <c r="D472" s="16"/>
      <c r="E472" s="1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>
      <c r="A473" s="16"/>
      <c r="B473" s="16"/>
      <c r="C473" s="16"/>
      <c r="D473" s="16"/>
      <c r="E473" s="1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>
      <c r="A474" s="16"/>
      <c r="B474" s="16"/>
      <c r="C474" s="16"/>
      <c r="D474" s="16"/>
      <c r="E474" s="1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>
      <c r="A475" s="16"/>
      <c r="B475" s="16"/>
      <c r="C475" s="16"/>
      <c r="D475" s="16"/>
      <c r="E475" s="1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>
      <c r="A476" s="16"/>
      <c r="B476" s="16"/>
      <c r="C476" s="16"/>
      <c r="D476" s="16"/>
      <c r="E476" s="1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>
      <c r="A477" s="16"/>
      <c r="B477" s="16"/>
      <c r="C477" s="16"/>
      <c r="D477" s="16"/>
      <c r="E477" s="1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>
      <c r="A478" s="16"/>
      <c r="B478" s="16"/>
      <c r="C478" s="16"/>
      <c r="D478" s="16"/>
      <c r="E478" s="1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>
      <c r="A479" s="16"/>
      <c r="B479" s="16"/>
      <c r="C479" s="16"/>
      <c r="D479" s="16"/>
      <c r="E479" s="1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>
      <c r="A480" s="16"/>
      <c r="B480" s="16"/>
      <c r="C480" s="16"/>
      <c r="D480" s="16"/>
      <c r="E480" s="1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>
      <c r="A481" s="16"/>
      <c r="B481" s="16"/>
      <c r="C481" s="16"/>
      <c r="D481" s="16"/>
      <c r="E481" s="1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>
      <c r="A482" s="16"/>
      <c r="B482" s="16"/>
      <c r="C482" s="16"/>
      <c r="D482" s="16"/>
      <c r="E482" s="1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>
      <c r="A483" s="16"/>
      <c r="B483" s="16"/>
      <c r="C483" s="16"/>
      <c r="D483" s="16"/>
      <c r="E483" s="1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>
      <c r="A484" s="16"/>
      <c r="B484" s="16"/>
      <c r="C484" s="16"/>
      <c r="D484" s="16"/>
      <c r="E484" s="1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>
      <c r="A485" s="16"/>
      <c r="B485" s="16"/>
      <c r="C485" s="16"/>
      <c r="D485" s="16"/>
      <c r="E485" s="1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>
      <c r="A486" s="16"/>
      <c r="B486" s="16"/>
      <c r="C486" s="16"/>
      <c r="D486" s="16"/>
      <c r="E486" s="1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>
      <c r="A487" s="16"/>
      <c r="B487" s="16"/>
      <c r="C487" s="16"/>
      <c r="D487" s="16"/>
      <c r="E487" s="1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>
      <c r="A488" s="16"/>
      <c r="B488" s="16"/>
      <c r="C488" s="16"/>
      <c r="D488" s="16"/>
      <c r="E488" s="1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>
      <c r="A489" s="16"/>
      <c r="B489" s="16"/>
      <c r="C489" s="16"/>
      <c r="D489" s="16"/>
      <c r="E489" s="1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>
      <c r="A490" s="16"/>
      <c r="B490" s="16"/>
      <c r="C490" s="16"/>
      <c r="D490" s="16"/>
      <c r="E490" s="1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>
      <c r="A491" s="16"/>
      <c r="B491" s="16"/>
      <c r="C491" s="16"/>
      <c r="D491" s="16"/>
      <c r="E491" s="1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>
      <c r="A492" s="16"/>
      <c r="B492" s="16"/>
      <c r="C492" s="16"/>
      <c r="D492" s="16"/>
      <c r="E492" s="1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>
      <c r="A493" s="16"/>
      <c r="B493" s="16"/>
      <c r="C493" s="16"/>
      <c r="D493" s="16"/>
      <c r="E493" s="1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>
      <c r="A494" s="16"/>
      <c r="B494" s="16"/>
      <c r="C494" s="16"/>
      <c r="D494" s="16"/>
      <c r="E494" s="1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>
      <c r="A495" s="16"/>
      <c r="B495" s="16"/>
      <c r="C495" s="16"/>
      <c r="D495" s="16"/>
      <c r="E495" s="1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>
      <c r="A496" s="16"/>
      <c r="B496" s="16"/>
      <c r="C496" s="16"/>
      <c r="D496" s="16"/>
      <c r="E496" s="1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>
      <c r="A497" s="16"/>
      <c r="B497" s="16"/>
      <c r="C497" s="16"/>
      <c r="D497" s="16"/>
      <c r="E497" s="1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>
      <c r="A498" s="16"/>
      <c r="B498" s="16"/>
      <c r="C498" s="16"/>
      <c r="D498" s="16"/>
      <c r="E498" s="1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>
      <c r="A499" s="16"/>
      <c r="B499" s="16"/>
      <c r="C499" s="16"/>
      <c r="D499" s="16"/>
      <c r="E499" s="1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>
      <c r="A500" s="16"/>
      <c r="B500" s="16"/>
      <c r="C500" s="16"/>
      <c r="D500" s="16"/>
      <c r="E500" s="1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>
      <c r="A501" s="16"/>
      <c r="B501" s="16"/>
      <c r="C501" s="16"/>
      <c r="D501" s="16"/>
      <c r="E501" s="1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>
      <c r="A502" s="16"/>
      <c r="B502" s="16"/>
      <c r="C502" s="16"/>
      <c r="D502" s="16"/>
      <c r="E502" s="1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>
      <c r="A503" s="16"/>
      <c r="B503" s="16"/>
      <c r="C503" s="16"/>
      <c r="D503" s="16"/>
      <c r="E503" s="1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>
      <c r="A504" s="16"/>
      <c r="B504" s="16"/>
      <c r="C504" s="16"/>
      <c r="D504" s="16"/>
      <c r="E504" s="1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>
      <c r="A505" s="16"/>
      <c r="B505" s="16"/>
      <c r="C505" s="16"/>
      <c r="D505" s="16"/>
      <c r="E505" s="1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>
      <c r="A506" s="16"/>
      <c r="B506" s="16"/>
      <c r="C506" s="16"/>
      <c r="D506" s="16"/>
      <c r="E506" s="1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>
      <c r="A507" s="16"/>
      <c r="B507" s="16"/>
      <c r="C507" s="16"/>
      <c r="D507" s="16"/>
      <c r="E507" s="1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>
      <c r="A508" s="16"/>
      <c r="B508" s="16"/>
      <c r="C508" s="16"/>
      <c r="D508" s="16"/>
      <c r="E508" s="1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>
      <c r="A509" s="16"/>
      <c r="B509" s="16"/>
      <c r="C509" s="16"/>
      <c r="D509" s="16"/>
      <c r="E509" s="1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>
      <c r="A510" s="16"/>
      <c r="B510" s="16"/>
      <c r="C510" s="16"/>
      <c r="D510" s="16"/>
      <c r="E510" s="1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>
      <c r="A511" s="16"/>
      <c r="B511" s="16"/>
      <c r="C511" s="16"/>
      <c r="D511" s="16"/>
      <c r="E511" s="1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>
      <c r="A512" s="16"/>
      <c r="B512" s="16"/>
      <c r="C512" s="16"/>
      <c r="D512" s="16"/>
      <c r="E512" s="1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>
      <c r="A513" s="16"/>
      <c r="B513" s="16"/>
      <c r="C513" s="16"/>
      <c r="D513" s="16"/>
      <c r="E513" s="1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>
      <c r="A514" s="16"/>
      <c r="B514" s="16"/>
      <c r="C514" s="16"/>
      <c r="D514" s="16"/>
      <c r="E514" s="1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>
      <c r="A515" s="16"/>
      <c r="B515" s="16"/>
      <c r="C515" s="16"/>
      <c r="D515" s="16"/>
      <c r="E515" s="1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>
      <c r="A516" s="16"/>
      <c r="B516" s="16"/>
      <c r="C516" s="16"/>
      <c r="D516" s="16"/>
      <c r="E516" s="1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>
      <c r="A517" s="16"/>
      <c r="B517" s="16"/>
      <c r="C517" s="16"/>
      <c r="D517" s="16"/>
      <c r="E517" s="1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>
      <c r="A518" s="16"/>
      <c r="B518" s="16"/>
      <c r="C518" s="16"/>
      <c r="D518" s="16"/>
      <c r="E518" s="1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>
      <c r="A519" s="16"/>
      <c r="B519" s="16"/>
      <c r="C519" s="16"/>
      <c r="D519" s="16"/>
      <c r="E519" s="1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>
      <c r="A520" s="16"/>
      <c r="B520" s="16"/>
      <c r="C520" s="16"/>
      <c r="D520" s="16"/>
      <c r="E520" s="1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>
      <c r="A521" s="16"/>
      <c r="B521" s="16"/>
      <c r="C521" s="16"/>
      <c r="D521" s="16"/>
      <c r="E521" s="1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>
      <c r="A522" s="16"/>
      <c r="B522" s="16"/>
      <c r="C522" s="16"/>
      <c r="D522" s="16"/>
      <c r="E522" s="1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>
      <c r="A523" s="16"/>
      <c r="B523" s="16"/>
      <c r="C523" s="16"/>
      <c r="D523" s="16"/>
      <c r="E523" s="1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>
      <c r="A524" s="16"/>
      <c r="B524" s="16"/>
      <c r="C524" s="16"/>
      <c r="D524" s="16"/>
      <c r="E524" s="1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>
      <c r="A525" s="16"/>
      <c r="B525" s="16"/>
      <c r="C525" s="16"/>
      <c r="D525" s="16"/>
      <c r="E525" s="1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>
      <c r="A526" s="16"/>
      <c r="B526" s="16"/>
      <c r="C526" s="16"/>
      <c r="D526" s="16"/>
      <c r="E526" s="1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>
      <c r="A527" s="16"/>
      <c r="B527" s="16"/>
      <c r="C527" s="16"/>
      <c r="D527" s="16"/>
      <c r="E527" s="1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>
      <c r="A528" s="16"/>
      <c r="B528" s="16"/>
      <c r="C528" s="16"/>
      <c r="D528" s="16"/>
      <c r="E528" s="1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>
      <c r="A529" s="16"/>
      <c r="B529" s="16"/>
      <c r="C529" s="16"/>
      <c r="D529" s="16"/>
      <c r="E529" s="1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>
      <c r="A530" s="16"/>
      <c r="B530" s="16"/>
      <c r="C530" s="16"/>
      <c r="D530" s="16"/>
      <c r="E530" s="1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>
      <c r="A531" s="16"/>
      <c r="B531" s="16"/>
      <c r="C531" s="16"/>
      <c r="D531" s="16"/>
      <c r="E531" s="1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>
      <c r="A532" s="16"/>
      <c r="B532" s="16"/>
      <c r="C532" s="16"/>
      <c r="D532" s="16"/>
      <c r="E532" s="1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>
      <c r="A533" s="16"/>
      <c r="B533" s="16"/>
      <c r="C533" s="16"/>
      <c r="D533" s="16"/>
      <c r="E533" s="1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>
      <c r="A534" s="16"/>
      <c r="B534" s="16"/>
      <c r="C534" s="16"/>
      <c r="D534" s="16"/>
      <c r="E534" s="1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>
      <c r="A535" s="16"/>
      <c r="B535" s="16"/>
      <c r="C535" s="16"/>
      <c r="D535" s="16"/>
      <c r="E535" s="1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>
      <c r="A536" s="16"/>
      <c r="B536" s="16"/>
      <c r="C536" s="16"/>
      <c r="D536" s="16"/>
      <c r="E536" s="1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>
      <c r="A537" s="16"/>
      <c r="B537" s="16"/>
      <c r="C537" s="16"/>
      <c r="D537" s="16"/>
      <c r="E537" s="1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>
      <c r="A538" s="16"/>
      <c r="B538" s="16"/>
      <c r="C538" s="16"/>
      <c r="D538" s="16"/>
      <c r="E538" s="1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>
      <c r="A539" s="16"/>
      <c r="B539" s="16"/>
      <c r="C539" s="16"/>
      <c r="D539" s="16"/>
      <c r="E539" s="1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>
      <c r="A540" s="16"/>
      <c r="B540" s="16"/>
      <c r="C540" s="16"/>
      <c r="D540" s="16"/>
      <c r="E540" s="1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>
      <c r="A541" s="16"/>
      <c r="B541" s="16"/>
      <c r="C541" s="16"/>
      <c r="D541" s="16"/>
      <c r="E541" s="1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>
      <c r="A542" s="16"/>
      <c r="B542" s="16"/>
      <c r="C542" s="16"/>
      <c r="D542" s="16"/>
      <c r="E542" s="1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>
      <c r="A543" s="16"/>
      <c r="B543" s="16"/>
      <c r="C543" s="16"/>
      <c r="D543" s="16"/>
      <c r="E543" s="1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>
      <c r="A544" s="16"/>
      <c r="B544" s="16"/>
      <c r="C544" s="16"/>
      <c r="D544" s="16"/>
      <c r="E544" s="1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>
      <c r="A545" s="16"/>
      <c r="B545" s="16"/>
      <c r="C545" s="16"/>
      <c r="D545" s="16"/>
      <c r="E545" s="1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>
      <c r="A546" s="16"/>
      <c r="B546" s="16"/>
      <c r="C546" s="16"/>
      <c r="D546" s="16"/>
      <c r="E546" s="1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>
      <c r="A547" s="16"/>
      <c r="B547" s="16"/>
      <c r="C547" s="16"/>
      <c r="D547" s="16"/>
      <c r="E547" s="1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>
      <c r="A548" s="16"/>
      <c r="B548" s="16"/>
      <c r="C548" s="16"/>
      <c r="D548" s="16"/>
      <c r="E548" s="1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>
      <c r="A549" s="16"/>
      <c r="B549" s="16"/>
      <c r="C549" s="16"/>
      <c r="D549" s="16"/>
      <c r="E549" s="1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>
      <c r="A550" s="16"/>
      <c r="B550" s="16"/>
      <c r="C550" s="16"/>
      <c r="D550" s="16"/>
      <c r="E550" s="1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>
      <c r="A551" s="16"/>
      <c r="B551" s="16"/>
      <c r="C551" s="16"/>
      <c r="D551" s="16"/>
      <c r="E551" s="1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>
      <c r="A552" s="16"/>
      <c r="B552" s="16"/>
      <c r="C552" s="16"/>
      <c r="D552" s="16"/>
      <c r="E552" s="1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>
      <c r="A553" s="16"/>
      <c r="B553" s="16"/>
      <c r="C553" s="16"/>
      <c r="D553" s="16"/>
      <c r="E553" s="1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>
      <c r="A554" s="16"/>
      <c r="B554" s="16"/>
      <c r="C554" s="16"/>
      <c r="D554" s="16"/>
      <c r="E554" s="1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>
      <c r="A555" s="16"/>
      <c r="B555" s="16"/>
      <c r="C555" s="16"/>
      <c r="D555" s="16"/>
      <c r="E555" s="1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>
      <c r="A556" s="16"/>
      <c r="B556" s="16"/>
      <c r="C556" s="16"/>
      <c r="D556" s="16"/>
      <c r="E556" s="1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>
      <c r="A557" s="16"/>
      <c r="B557" s="16"/>
      <c r="C557" s="16"/>
      <c r="D557" s="16"/>
      <c r="E557" s="1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>
      <c r="A558" s="16"/>
      <c r="B558" s="16"/>
      <c r="C558" s="16"/>
      <c r="D558" s="16"/>
      <c r="E558" s="1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>
      <c r="A559" s="16"/>
      <c r="B559" s="16"/>
      <c r="C559" s="16"/>
      <c r="D559" s="16"/>
      <c r="E559" s="1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>
      <c r="A560" s="16"/>
      <c r="B560" s="16"/>
      <c r="C560" s="16"/>
      <c r="D560" s="16"/>
      <c r="E560" s="1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>
      <c r="A561" s="16"/>
      <c r="B561" s="16"/>
      <c r="C561" s="16"/>
      <c r="D561" s="16"/>
      <c r="E561" s="1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>
      <c r="A562" s="16"/>
      <c r="B562" s="16"/>
      <c r="C562" s="16"/>
      <c r="D562" s="16"/>
      <c r="E562" s="1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>
      <c r="A563" s="16"/>
      <c r="B563" s="16"/>
      <c r="C563" s="16"/>
      <c r="D563" s="16"/>
      <c r="E563" s="1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>
      <c r="A564" s="16"/>
      <c r="B564" s="16"/>
      <c r="C564" s="16"/>
      <c r="D564" s="16"/>
      <c r="E564" s="1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>
      <c r="A565" s="16"/>
      <c r="B565" s="16"/>
      <c r="C565" s="16"/>
      <c r="D565" s="16"/>
      <c r="E565" s="1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>
      <c r="A566" s="16"/>
      <c r="B566" s="16"/>
      <c r="C566" s="16"/>
      <c r="D566" s="16"/>
      <c r="E566" s="1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>
      <c r="A567" s="16"/>
      <c r="B567" s="16"/>
      <c r="C567" s="16"/>
      <c r="D567" s="16"/>
      <c r="E567" s="1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>
      <c r="A568" s="16"/>
      <c r="B568" s="16"/>
      <c r="C568" s="16"/>
      <c r="D568" s="16"/>
      <c r="E568" s="1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>
      <c r="A569" s="16"/>
      <c r="B569" s="16"/>
      <c r="C569" s="16"/>
      <c r="D569" s="16"/>
      <c r="E569" s="1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>
      <c r="A570" s="16"/>
      <c r="B570" s="16"/>
      <c r="C570" s="16"/>
      <c r="D570" s="16"/>
      <c r="E570" s="1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>
      <c r="A571" s="16"/>
      <c r="B571" s="16"/>
      <c r="C571" s="16"/>
      <c r="D571" s="16"/>
      <c r="E571" s="1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>
      <c r="A572" s="16"/>
      <c r="B572" s="16"/>
      <c r="C572" s="16"/>
      <c r="D572" s="16"/>
      <c r="E572" s="1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>
      <c r="A573" s="16"/>
      <c r="B573" s="16"/>
      <c r="C573" s="16"/>
      <c r="D573" s="16"/>
      <c r="E573" s="1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>
      <c r="A574" s="16"/>
      <c r="B574" s="16"/>
      <c r="C574" s="16"/>
      <c r="D574" s="16"/>
      <c r="E574" s="1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>
      <c r="A575" s="16"/>
      <c r="B575" s="16"/>
      <c r="C575" s="16"/>
      <c r="D575" s="16"/>
      <c r="E575" s="1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>
      <c r="A576" s="16"/>
      <c r="B576" s="16"/>
      <c r="C576" s="16"/>
      <c r="D576" s="16"/>
      <c r="E576" s="1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>
      <c r="A577" s="16"/>
      <c r="B577" s="16"/>
      <c r="C577" s="16"/>
      <c r="D577" s="16"/>
      <c r="E577" s="1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>
      <c r="A578" s="16"/>
      <c r="B578" s="16"/>
      <c r="C578" s="16"/>
      <c r="D578" s="16"/>
      <c r="E578" s="1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>
      <c r="A579" s="16"/>
      <c r="B579" s="16"/>
      <c r="C579" s="16"/>
      <c r="D579" s="16"/>
      <c r="E579" s="1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>
      <c r="A580" s="16"/>
      <c r="B580" s="16"/>
      <c r="C580" s="16"/>
      <c r="D580" s="16"/>
      <c r="E580" s="1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>
      <c r="A581" s="16"/>
      <c r="B581" s="16"/>
      <c r="C581" s="16"/>
      <c r="D581" s="16"/>
      <c r="E581" s="1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>
      <c r="A582" s="16"/>
      <c r="B582" s="16"/>
      <c r="C582" s="16"/>
      <c r="D582" s="16"/>
      <c r="E582" s="1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>
      <c r="A583" s="16"/>
      <c r="B583" s="16"/>
      <c r="C583" s="16"/>
      <c r="D583" s="16"/>
      <c r="E583" s="1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>
      <c r="A584" s="16"/>
      <c r="B584" s="16"/>
      <c r="C584" s="16"/>
      <c r="D584" s="16"/>
      <c r="E584" s="1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>
      <c r="A585" s="16"/>
      <c r="B585" s="16"/>
      <c r="C585" s="16"/>
      <c r="D585" s="16"/>
      <c r="E585" s="1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>
      <c r="A586" s="16"/>
      <c r="B586" s="16"/>
      <c r="C586" s="16"/>
      <c r="D586" s="16"/>
      <c r="E586" s="1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>
      <c r="A587" s="16"/>
      <c r="B587" s="16"/>
      <c r="C587" s="16"/>
      <c r="D587" s="16"/>
      <c r="E587" s="1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>
      <c r="A588" s="16"/>
      <c r="B588" s="16"/>
      <c r="C588" s="16"/>
      <c r="D588" s="16"/>
      <c r="E588" s="1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>
      <c r="A589" s="16"/>
      <c r="B589" s="16"/>
      <c r="C589" s="16"/>
      <c r="D589" s="16"/>
      <c r="E589" s="1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>
      <c r="A590" s="16"/>
      <c r="B590" s="16"/>
      <c r="C590" s="16"/>
      <c r="D590" s="16"/>
      <c r="E590" s="1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>
      <c r="A591" s="16"/>
      <c r="B591" s="16"/>
      <c r="C591" s="16"/>
      <c r="D591" s="16"/>
      <c r="E591" s="1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>
      <c r="A592" s="16"/>
      <c r="B592" s="16"/>
      <c r="C592" s="16"/>
      <c r="D592" s="16"/>
      <c r="E592" s="1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>
      <c r="A593" s="16"/>
      <c r="B593" s="16"/>
      <c r="C593" s="16"/>
      <c r="D593" s="16"/>
      <c r="E593" s="1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>
      <c r="A594" s="16"/>
      <c r="B594" s="16"/>
      <c r="C594" s="16"/>
      <c r="D594" s="16"/>
      <c r="E594" s="1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>
      <c r="A595" s="16"/>
      <c r="B595" s="16"/>
      <c r="C595" s="16"/>
      <c r="D595" s="16"/>
      <c r="E595" s="1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>
      <c r="A596" s="16"/>
      <c r="B596" s="16"/>
      <c r="C596" s="16"/>
      <c r="D596" s="16"/>
      <c r="E596" s="1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>
      <c r="A597" s="16"/>
      <c r="B597" s="16"/>
      <c r="C597" s="16"/>
      <c r="D597" s="16"/>
      <c r="E597" s="1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>
      <c r="A598" s="16"/>
      <c r="B598" s="16"/>
      <c r="C598" s="16"/>
      <c r="D598" s="16"/>
      <c r="E598" s="1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>
      <c r="A599" s="16"/>
      <c r="B599" s="16"/>
      <c r="C599" s="16"/>
      <c r="D599" s="16"/>
      <c r="E599" s="1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>
      <c r="A600" s="16"/>
      <c r="B600" s="16"/>
      <c r="C600" s="16"/>
      <c r="D600" s="16"/>
      <c r="E600" s="1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>
      <c r="A601" s="16"/>
      <c r="B601" s="16"/>
      <c r="C601" s="16"/>
      <c r="D601" s="16"/>
      <c r="E601" s="1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>
      <c r="A602" s="16"/>
      <c r="B602" s="16"/>
      <c r="C602" s="16"/>
      <c r="D602" s="16"/>
      <c r="E602" s="1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>
      <c r="A603" s="16"/>
      <c r="B603" s="16"/>
      <c r="C603" s="16"/>
      <c r="D603" s="16"/>
      <c r="E603" s="1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>
      <c r="A604" s="16"/>
      <c r="B604" s="16"/>
      <c r="C604" s="16"/>
      <c r="D604" s="16"/>
      <c r="E604" s="1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>
      <c r="A605" s="16"/>
      <c r="B605" s="16"/>
      <c r="C605" s="16"/>
      <c r="D605" s="16"/>
      <c r="E605" s="1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>
      <c r="A606" s="16"/>
      <c r="B606" s="16"/>
      <c r="C606" s="16"/>
      <c r="D606" s="16"/>
      <c r="E606" s="1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>
      <c r="A607" s="16"/>
      <c r="B607" s="16"/>
      <c r="C607" s="16"/>
      <c r="D607" s="16"/>
      <c r="E607" s="1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>
      <c r="A608" s="16"/>
      <c r="B608" s="16"/>
      <c r="C608" s="16"/>
      <c r="D608" s="16"/>
      <c r="E608" s="1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>
      <c r="A609" s="16"/>
      <c r="B609" s="16"/>
      <c r="C609" s="16"/>
      <c r="D609" s="16"/>
      <c r="E609" s="1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>
      <c r="A610" s="16"/>
      <c r="B610" s="16"/>
      <c r="C610" s="16"/>
      <c r="D610" s="16"/>
      <c r="E610" s="1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>
      <c r="A611" s="16"/>
      <c r="B611" s="16"/>
      <c r="C611" s="16"/>
      <c r="D611" s="16"/>
      <c r="E611" s="1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>
      <c r="A612" s="16"/>
      <c r="B612" s="16"/>
      <c r="C612" s="16"/>
      <c r="D612" s="16"/>
      <c r="E612" s="1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>
      <c r="A613" s="16"/>
      <c r="B613" s="16"/>
      <c r="C613" s="16"/>
      <c r="D613" s="16"/>
      <c r="E613" s="1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>
      <c r="A614" s="16"/>
      <c r="B614" s="16"/>
      <c r="C614" s="16"/>
      <c r="D614" s="16"/>
      <c r="E614" s="1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>
      <c r="A615" s="16"/>
      <c r="B615" s="16"/>
      <c r="C615" s="16"/>
      <c r="D615" s="16"/>
      <c r="E615" s="1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>
      <c r="A616" s="16"/>
      <c r="B616" s="16"/>
      <c r="C616" s="16"/>
      <c r="D616" s="16"/>
      <c r="E616" s="1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>
      <c r="A617" s="16"/>
      <c r="B617" s="16"/>
      <c r="C617" s="16"/>
      <c r="D617" s="16"/>
      <c r="E617" s="1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>
      <c r="A618" s="16"/>
      <c r="B618" s="16"/>
      <c r="C618" s="16"/>
      <c r="D618" s="16"/>
      <c r="E618" s="1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>
      <c r="A619" s="16"/>
      <c r="B619" s="16"/>
      <c r="C619" s="16"/>
      <c r="D619" s="16"/>
      <c r="E619" s="1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>
      <c r="A620" s="16"/>
      <c r="B620" s="16"/>
      <c r="C620" s="16"/>
      <c r="D620" s="16"/>
      <c r="E620" s="1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>
      <c r="A621" s="16"/>
      <c r="B621" s="16"/>
      <c r="C621" s="16"/>
      <c r="D621" s="16"/>
      <c r="E621" s="1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>
      <c r="A622" s="16"/>
      <c r="B622" s="16"/>
      <c r="C622" s="16"/>
      <c r="D622" s="16"/>
      <c r="E622" s="1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>
      <c r="A623" s="16"/>
      <c r="B623" s="16"/>
      <c r="C623" s="16"/>
      <c r="D623" s="16"/>
      <c r="E623" s="1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>
      <c r="A624" s="16"/>
      <c r="B624" s="16"/>
      <c r="C624" s="16"/>
      <c r="D624" s="16"/>
      <c r="E624" s="1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>
      <c r="A625" s="16"/>
      <c r="B625" s="16"/>
      <c r="C625" s="16"/>
      <c r="D625" s="16"/>
      <c r="E625" s="1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>
      <c r="A626" s="16"/>
      <c r="B626" s="16"/>
      <c r="C626" s="16"/>
      <c r="D626" s="16"/>
      <c r="E626" s="1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>
      <c r="A627" s="16"/>
      <c r="B627" s="16"/>
      <c r="C627" s="16"/>
      <c r="D627" s="16"/>
      <c r="E627" s="1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>
      <c r="A628" s="16"/>
      <c r="B628" s="16"/>
      <c r="C628" s="16"/>
      <c r="D628" s="16"/>
      <c r="E628" s="1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>
      <c r="A629" s="16"/>
      <c r="B629" s="16"/>
      <c r="C629" s="16"/>
      <c r="D629" s="16"/>
      <c r="E629" s="1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>
      <c r="A630" s="16"/>
      <c r="B630" s="16"/>
      <c r="C630" s="16"/>
      <c r="D630" s="16"/>
      <c r="E630" s="1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>
      <c r="A631" s="16"/>
      <c r="B631" s="16"/>
      <c r="C631" s="16"/>
      <c r="D631" s="16"/>
      <c r="E631" s="1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>
      <c r="A632" s="16"/>
      <c r="B632" s="16"/>
      <c r="C632" s="16"/>
      <c r="D632" s="16"/>
      <c r="E632" s="1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>
      <c r="A633" s="16"/>
      <c r="B633" s="16"/>
      <c r="C633" s="16"/>
      <c r="D633" s="16"/>
      <c r="E633" s="1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>
      <c r="A634" s="16"/>
      <c r="B634" s="16"/>
      <c r="C634" s="16"/>
      <c r="D634" s="16"/>
      <c r="E634" s="1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>
      <c r="A635" s="16"/>
      <c r="B635" s="16"/>
      <c r="C635" s="16"/>
      <c r="D635" s="16"/>
      <c r="E635" s="1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>
      <c r="A636" s="16"/>
      <c r="B636" s="16"/>
      <c r="C636" s="16"/>
      <c r="D636" s="16"/>
      <c r="E636" s="1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>
      <c r="A637" s="16"/>
      <c r="B637" s="16"/>
      <c r="C637" s="16"/>
      <c r="D637" s="16"/>
      <c r="E637" s="1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>
      <c r="A638" s="16"/>
      <c r="B638" s="16"/>
      <c r="C638" s="16"/>
      <c r="D638" s="16"/>
      <c r="E638" s="1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>
      <c r="A639" s="16"/>
      <c r="B639" s="16"/>
      <c r="C639" s="16"/>
      <c r="D639" s="16"/>
      <c r="E639" s="1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>
      <c r="A640" s="16"/>
      <c r="B640" s="16"/>
      <c r="C640" s="16"/>
      <c r="D640" s="16"/>
      <c r="E640" s="1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>
      <c r="A641" s="16"/>
      <c r="B641" s="16"/>
      <c r="C641" s="16"/>
      <c r="D641" s="16"/>
      <c r="E641" s="1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>
      <c r="A642" s="16"/>
      <c r="B642" s="16"/>
      <c r="C642" s="16"/>
      <c r="D642" s="16"/>
      <c r="E642" s="1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>
      <c r="A643" s="16"/>
      <c r="B643" s="16"/>
      <c r="C643" s="16"/>
      <c r="D643" s="16"/>
      <c r="E643" s="1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>
      <c r="A644" s="16"/>
      <c r="B644" s="16"/>
      <c r="C644" s="16"/>
      <c r="D644" s="16"/>
      <c r="E644" s="1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>
      <c r="A645" s="16"/>
      <c r="B645" s="16"/>
      <c r="C645" s="16"/>
      <c r="D645" s="16"/>
      <c r="E645" s="1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>
      <c r="A646" s="16"/>
      <c r="B646" s="16"/>
      <c r="C646" s="16"/>
      <c r="D646" s="16"/>
      <c r="E646" s="1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>
      <c r="A647" s="16"/>
      <c r="B647" s="16"/>
      <c r="C647" s="16"/>
      <c r="D647" s="16"/>
      <c r="E647" s="1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>
      <c r="A648" s="16"/>
      <c r="B648" s="16"/>
      <c r="C648" s="16"/>
      <c r="D648" s="16"/>
      <c r="E648" s="1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>
      <c r="A649" s="16"/>
      <c r="B649" s="16"/>
      <c r="C649" s="16"/>
      <c r="D649" s="16"/>
      <c r="E649" s="1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>
      <c r="A650" s="16"/>
      <c r="B650" s="16"/>
      <c r="C650" s="16"/>
      <c r="D650" s="16"/>
      <c r="E650" s="1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>
      <c r="A651" s="16"/>
      <c r="B651" s="16"/>
      <c r="C651" s="16"/>
      <c r="D651" s="16"/>
      <c r="E651" s="1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>
      <c r="A652" s="16"/>
      <c r="B652" s="16"/>
      <c r="C652" s="16"/>
      <c r="D652" s="16"/>
      <c r="E652" s="1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>
      <c r="A653" s="16"/>
      <c r="B653" s="16"/>
      <c r="C653" s="16"/>
      <c r="D653" s="16"/>
      <c r="E653" s="1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>
      <c r="A654" s="16"/>
      <c r="B654" s="16"/>
      <c r="C654" s="16"/>
      <c r="D654" s="16"/>
      <c r="E654" s="1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>
      <c r="A655" s="16"/>
      <c r="B655" s="16"/>
      <c r="C655" s="16"/>
      <c r="D655" s="16"/>
      <c r="E655" s="1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>
      <c r="A656" s="16"/>
      <c r="B656" s="16"/>
      <c r="C656" s="16"/>
      <c r="D656" s="16"/>
      <c r="E656" s="1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>
      <c r="A657" s="16"/>
      <c r="B657" s="16"/>
      <c r="C657" s="16"/>
      <c r="D657" s="16"/>
      <c r="E657" s="1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>
      <c r="A658" s="16"/>
      <c r="B658" s="16"/>
      <c r="C658" s="16"/>
      <c r="D658" s="16"/>
      <c r="E658" s="1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>
      <c r="A659" s="16"/>
      <c r="B659" s="16"/>
      <c r="C659" s="16"/>
      <c r="D659" s="16"/>
      <c r="E659" s="1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>
      <c r="A660" s="16"/>
      <c r="B660" s="16"/>
      <c r="C660" s="16"/>
      <c r="D660" s="16"/>
      <c r="E660" s="1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>
      <c r="A661" s="16"/>
      <c r="B661" s="16"/>
      <c r="C661" s="16"/>
      <c r="D661" s="16"/>
      <c r="E661" s="1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>
      <c r="A662" s="16"/>
      <c r="B662" s="16"/>
      <c r="C662" s="16"/>
      <c r="D662" s="16"/>
      <c r="E662" s="1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>
      <c r="A663" s="16"/>
      <c r="B663" s="16"/>
      <c r="C663" s="16"/>
      <c r="D663" s="16"/>
      <c r="E663" s="1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>
      <c r="A664" s="16"/>
      <c r="B664" s="16"/>
      <c r="C664" s="16"/>
      <c r="D664" s="16"/>
      <c r="E664" s="1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>
      <c r="A665" s="16"/>
      <c r="B665" s="16"/>
      <c r="C665" s="16"/>
      <c r="D665" s="16"/>
      <c r="E665" s="1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>
      <c r="A666" s="16"/>
      <c r="B666" s="16"/>
      <c r="C666" s="16"/>
      <c r="D666" s="16"/>
      <c r="E666" s="1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>
      <c r="A667" s="16"/>
      <c r="B667" s="16"/>
      <c r="C667" s="16"/>
      <c r="D667" s="16"/>
      <c r="E667" s="1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>
      <c r="A668" s="16"/>
      <c r="B668" s="16"/>
      <c r="C668" s="16"/>
      <c r="D668" s="16"/>
      <c r="E668" s="1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>
      <c r="A669" s="16"/>
      <c r="B669" s="16"/>
      <c r="C669" s="16"/>
      <c r="D669" s="16"/>
      <c r="E669" s="1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>
      <c r="A670" s="16"/>
      <c r="B670" s="16"/>
      <c r="C670" s="16"/>
      <c r="D670" s="16"/>
      <c r="E670" s="1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>
      <c r="A671" s="16"/>
      <c r="B671" s="16"/>
      <c r="C671" s="16"/>
      <c r="D671" s="16"/>
      <c r="E671" s="1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>
      <c r="A672" s="16"/>
      <c r="B672" s="16"/>
      <c r="C672" s="16"/>
      <c r="D672" s="16"/>
      <c r="E672" s="1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>
      <c r="A673" s="16"/>
      <c r="B673" s="16"/>
      <c r="C673" s="16"/>
      <c r="D673" s="16"/>
      <c r="E673" s="1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>
      <c r="A674" s="16"/>
      <c r="B674" s="16"/>
      <c r="C674" s="16"/>
      <c r="D674" s="16"/>
      <c r="E674" s="1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>
      <c r="A675" s="16"/>
      <c r="B675" s="16"/>
      <c r="C675" s="16"/>
      <c r="D675" s="16"/>
      <c r="E675" s="1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>
      <c r="A676" s="16"/>
      <c r="B676" s="16"/>
      <c r="C676" s="16"/>
      <c r="D676" s="16"/>
      <c r="E676" s="1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>
      <c r="A677" s="16"/>
      <c r="B677" s="16"/>
      <c r="C677" s="16"/>
      <c r="D677" s="16"/>
      <c r="E677" s="1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>
      <c r="A678" s="16"/>
      <c r="B678" s="16"/>
      <c r="C678" s="16"/>
      <c r="D678" s="16"/>
      <c r="E678" s="1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>
      <c r="A679" s="16"/>
      <c r="B679" s="16"/>
      <c r="C679" s="16"/>
      <c r="D679" s="16"/>
      <c r="E679" s="1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>
      <c r="A680" s="16"/>
      <c r="B680" s="16"/>
      <c r="C680" s="16"/>
      <c r="D680" s="16"/>
      <c r="E680" s="1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>
      <c r="A681" s="16"/>
      <c r="B681" s="16"/>
      <c r="C681" s="16"/>
      <c r="D681" s="16"/>
      <c r="E681" s="1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>
      <c r="A682" s="16"/>
      <c r="B682" s="16"/>
      <c r="C682" s="16"/>
      <c r="D682" s="16"/>
      <c r="E682" s="1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>
      <c r="A683" s="16"/>
      <c r="B683" s="16"/>
      <c r="C683" s="16"/>
      <c r="D683" s="16"/>
      <c r="E683" s="1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>
      <c r="A684" s="16"/>
      <c r="B684" s="16"/>
      <c r="C684" s="16"/>
      <c r="D684" s="16"/>
      <c r="E684" s="1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>
      <c r="A685" s="16"/>
      <c r="B685" s="16"/>
      <c r="C685" s="16"/>
      <c r="D685" s="16"/>
      <c r="E685" s="1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>
      <c r="A686" s="16"/>
      <c r="B686" s="16"/>
      <c r="C686" s="16"/>
      <c r="D686" s="16"/>
      <c r="E686" s="1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>
      <c r="A687" s="16"/>
      <c r="B687" s="16"/>
      <c r="C687" s="16"/>
      <c r="D687" s="16"/>
      <c r="E687" s="1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>
      <c r="A688" s="16"/>
      <c r="B688" s="16"/>
      <c r="C688" s="16"/>
      <c r="D688" s="16"/>
      <c r="E688" s="1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>
      <c r="A689" s="16"/>
      <c r="B689" s="16"/>
      <c r="C689" s="16"/>
      <c r="D689" s="16"/>
      <c r="E689" s="1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>
      <c r="A690" s="16"/>
      <c r="B690" s="16"/>
      <c r="C690" s="16"/>
      <c r="D690" s="16"/>
      <c r="E690" s="1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>
      <c r="A691" s="16"/>
      <c r="B691" s="16"/>
      <c r="C691" s="16"/>
      <c r="D691" s="16"/>
      <c r="E691" s="1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>
      <c r="A692" s="16"/>
      <c r="B692" s="16"/>
      <c r="C692" s="16"/>
      <c r="D692" s="16"/>
      <c r="E692" s="1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>
      <c r="A693" s="16"/>
      <c r="B693" s="16"/>
      <c r="C693" s="16"/>
      <c r="D693" s="16"/>
      <c r="E693" s="1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>
      <c r="A694" s="16"/>
      <c r="B694" s="16"/>
      <c r="C694" s="16"/>
      <c r="D694" s="16"/>
      <c r="E694" s="1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>
      <c r="A695" s="16"/>
      <c r="B695" s="16"/>
      <c r="C695" s="16"/>
      <c r="D695" s="16"/>
      <c r="E695" s="1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>
      <c r="A696" s="16"/>
      <c r="B696" s="16"/>
      <c r="C696" s="16"/>
      <c r="D696" s="16"/>
      <c r="E696" s="1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>
      <c r="A697" s="16"/>
      <c r="B697" s="16"/>
      <c r="C697" s="16"/>
      <c r="D697" s="16"/>
      <c r="E697" s="1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>
      <c r="A698" s="16"/>
      <c r="B698" s="16"/>
      <c r="C698" s="16"/>
      <c r="D698" s="16"/>
      <c r="E698" s="1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>
      <c r="A699" s="16"/>
      <c r="B699" s="16"/>
      <c r="C699" s="16"/>
      <c r="D699" s="16"/>
      <c r="E699" s="1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>
      <c r="A700" s="16"/>
      <c r="B700" s="16"/>
      <c r="C700" s="16"/>
      <c r="D700" s="16"/>
      <c r="E700" s="1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>
      <c r="A701" s="16"/>
      <c r="B701" s="16"/>
      <c r="C701" s="16"/>
      <c r="D701" s="16"/>
      <c r="E701" s="1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>
      <c r="A702" s="16"/>
      <c r="B702" s="16"/>
      <c r="C702" s="16"/>
      <c r="D702" s="16"/>
      <c r="E702" s="1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>
      <c r="A703" s="16"/>
      <c r="B703" s="16"/>
      <c r="C703" s="16"/>
      <c r="D703" s="16"/>
      <c r="E703" s="1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>
      <c r="A704" s="16"/>
      <c r="B704" s="16"/>
      <c r="C704" s="16"/>
      <c r="D704" s="16"/>
      <c r="E704" s="1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>
      <c r="A705" s="16"/>
      <c r="B705" s="16"/>
      <c r="C705" s="16"/>
      <c r="D705" s="16"/>
      <c r="E705" s="1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>
      <c r="A706" s="16"/>
      <c r="B706" s="16"/>
      <c r="C706" s="16"/>
      <c r="D706" s="16"/>
      <c r="E706" s="1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>
      <c r="A707" s="16"/>
      <c r="B707" s="16"/>
      <c r="C707" s="16"/>
      <c r="D707" s="16"/>
      <c r="E707" s="1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>
      <c r="A708" s="16"/>
      <c r="B708" s="16"/>
      <c r="C708" s="16"/>
      <c r="D708" s="16"/>
      <c r="E708" s="1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>
      <c r="A709" s="16"/>
      <c r="B709" s="16"/>
      <c r="C709" s="16"/>
      <c r="D709" s="16"/>
      <c r="E709" s="1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>
      <c r="A710" s="16"/>
      <c r="B710" s="16"/>
      <c r="C710" s="16"/>
      <c r="D710" s="16"/>
      <c r="E710" s="1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>
      <c r="A711" s="16"/>
      <c r="B711" s="16"/>
      <c r="C711" s="16"/>
      <c r="D711" s="16"/>
      <c r="E711" s="1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>
      <c r="A712" s="16"/>
      <c r="B712" s="16"/>
      <c r="C712" s="16"/>
      <c r="D712" s="16"/>
      <c r="E712" s="1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>
      <c r="A713" s="16"/>
      <c r="B713" s="16"/>
      <c r="C713" s="16"/>
      <c r="D713" s="16"/>
      <c r="E713" s="1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>
      <c r="A714" s="16"/>
      <c r="B714" s="16"/>
      <c r="C714" s="16"/>
      <c r="D714" s="16"/>
      <c r="E714" s="1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>
      <c r="A715" s="16"/>
      <c r="B715" s="16"/>
      <c r="C715" s="16"/>
      <c r="D715" s="16"/>
      <c r="E715" s="1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>
      <c r="A716" s="16"/>
      <c r="B716" s="16"/>
      <c r="C716" s="16"/>
      <c r="D716" s="16"/>
      <c r="E716" s="1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>
      <c r="A717" s="16"/>
      <c r="B717" s="16"/>
      <c r="C717" s="16"/>
      <c r="D717" s="16"/>
      <c r="E717" s="1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>
      <c r="A718" s="16"/>
      <c r="B718" s="16"/>
      <c r="C718" s="16"/>
      <c r="D718" s="16"/>
      <c r="E718" s="1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>
      <c r="A719" s="16"/>
      <c r="B719" s="16"/>
      <c r="C719" s="16"/>
      <c r="D719" s="16"/>
      <c r="E719" s="1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>
      <c r="A720" s="16"/>
      <c r="B720" s="16"/>
      <c r="C720" s="16"/>
      <c r="D720" s="16"/>
      <c r="E720" s="1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>
      <c r="A721" s="16"/>
      <c r="B721" s="16"/>
      <c r="C721" s="16"/>
      <c r="D721" s="16"/>
      <c r="E721" s="1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>
      <c r="A722" s="16"/>
      <c r="B722" s="16"/>
      <c r="C722" s="16"/>
      <c r="D722" s="16"/>
      <c r="E722" s="1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>
      <c r="A723" s="16"/>
      <c r="B723" s="16"/>
      <c r="C723" s="16"/>
      <c r="D723" s="16"/>
      <c r="E723" s="1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>
      <c r="A724" s="16"/>
      <c r="B724" s="16"/>
      <c r="C724" s="16"/>
      <c r="D724" s="16"/>
      <c r="E724" s="1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>
      <c r="A725" s="16"/>
      <c r="B725" s="16"/>
      <c r="C725" s="16"/>
      <c r="D725" s="16"/>
      <c r="E725" s="1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>
      <c r="A726" s="16"/>
      <c r="B726" s="16"/>
      <c r="C726" s="16"/>
      <c r="D726" s="16"/>
      <c r="E726" s="1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>
      <c r="A727" s="16"/>
      <c r="B727" s="16"/>
      <c r="C727" s="16"/>
      <c r="D727" s="16"/>
      <c r="E727" s="1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>
      <c r="A728" s="16"/>
      <c r="B728" s="16"/>
      <c r="C728" s="16"/>
      <c r="D728" s="16"/>
      <c r="E728" s="1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>
      <c r="A729" s="16"/>
      <c r="B729" s="16"/>
      <c r="C729" s="16"/>
      <c r="D729" s="16"/>
      <c r="E729" s="1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>
      <c r="A730" s="16"/>
      <c r="B730" s="16"/>
      <c r="C730" s="16"/>
      <c r="D730" s="16"/>
      <c r="E730" s="1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>
      <c r="A731" s="16"/>
      <c r="B731" s="16"/>
      <c r="C731" s="16"/>
      <c r="D731" s="16"/>
      <c r="E731" s="1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>
      <c r="A732" s="16"/>
      <c r="B732" s="16"/>
      <c r="C732" s="16"/>
      <c r="D732" s="16"/>
      <c r="E732" s="1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>
      <c r="A733" s="16"/>
      <c r="B733" s="16"/>
      <c r="C733" s="16"/>
      <c r="D733" s="16"/>
      <c r="E733" s="1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>
      <c r="A734" s="16"/>
      <c r="B734" s="16"/>
      <c r="C734" s="16"/>
      <c r="D734" s="16"/>
      <c r="E734" s="1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>
      <c r="A735" s="16"/>
      <c r="B735" s="16"/>
      <c r="C735" s="16"/>
      <c r="D735" s="16"/>
      <c r="E735" s="1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>
      <c r="A736" s="16"/>
      <c r="B736" s="16"/>
      <c r="C736" s="16"/>
      <c r="D736" s="16"/>
      <c r="E736" s="1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>
      <c r="A737" s="16"/>
      <c r="B737" s="16"/>
      <c r="C737" s="16"/>
      <c r="D737" s="16"/>
      <c r="E737" s="1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>
      <c r="A738" s="16"/>
      <c r="B738" s="16"/>
      <c r="C738" s="16"/>
      <c r="D738" s="16"/>
      <c r="E738" s="1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>
      <c r="A739" s="16"/>
      <c r="B739" s="16"/>
      <c r="C739" s="16"/>
      <c r="D739" s="16"/>
      <c r="E739" s="1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>
      <c r="A740" s="16"/>
      <c r="B740" s="16"/>
      <c r="C740" s="16"/>
      <c r="D740" s="16"/>
      <c r="E740" s="1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>
      <c r="A741" s="16"/>
      <c r="B741" s="16"/>
      <c r="C741" s="16"/>
      <c r="D741" s="16"/>
      <c r="E741" s="1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>
      <c r="A742" s="16"/>
      <c r="B742" s="16"/>
      <c r="C742" s="16"/>
      <c r="D742" s="16"/>
      <c r="E742" s="1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>
      <c r="A743" s="16"/>
      <c r="B743" s="16"/>
      <c r="C743" s="16"/>
      <c r="D743" s="16"/>
      <c r="E743" s="1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>
      <c r="A744" s="16"/>
      <c r="B744" s="16"/>
      <c r="C744" s="16"/>
      <c r="D744" s="16"/>
      <c r="E744" s="1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>
      <c r="A745" s="16"/>
      <c r="B745" s="16"/>
      <c r="C745" s="16"/>
      <c r="D745" s="16"/>
      <c r="E745" s="1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>
      <c r="A746" s="16"/>
      <c r="B746" s="16"/>
      <c r="C746" s="16"/>
      <c r="D746" s="16"/>
      <c r="E746" s="1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>
      <c r="A747" s="16"/>
      <c r="B747" s="16"/>
      <c r="C747" s="16"/>
      <c r="D747" s="16"/>
      <c r="E747" s="1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>
      <c r="A748" s="16"/>
      <c r="B748" s="16"/>
      <c r="C748" s="16"/>
      <c r="D748" s="16"/>
      <c r="E748" s="1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>
      <c r="A749" s="16"/>
      <c r="B749" s="16"/>
      <c r="C749" s="16"/>
      <c r="D749" s="16"/>
      <c r="E749" s="1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>
      <c r="A750" s="16"/>
      <c r="B750" s="16"/>
      <c r="C750" s="16"/>
      <c r="D750" s="16"/>
      <c r="E750" s="1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>
      <c r="A751" s="16"/>
      <c r="B751" s="16"/>
      <c r="C751" s="16"/>
      <c r="D751" s="16"/>
      <c r="E751" s="1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>
      <c r="A752" s="16"/>
      <c r="B752" s="16"/>
      <c r="C752" s="16"/>
      <c r="D752" s="16"/>
      <c r="E752" s="1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>
      <c r="A753" s="16"/>
      <c r="B753" s="16"/>
      <c r="C753" s="16"/>
      <c r="D753" s="16"/>
      <c r="E753" s="1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>
      <c r="A754" s="16"/>
      <c r="B754" s="16"/>
      <c r="C754" s="16"/>
      <c r="D754" s="16"/>
      <c r="E754" s="1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>
      <c r="A755" s="16"/>
      <c r="B755" s="16"/>
      <c r="C755" s="16"/>
      <c r="D755" s="16"/>
      <c r="E755" s="1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>
      <c r="A756" s="16"/>
      <c r="B756" s="16"/>
      <c r="C756" s="16"/>
      <c r="D756" s="16"/>
      <c r="E756" s="1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>
      <c r="A757" s="16"/>
      <c r="B757" s="16"/>
      <c r="C757" s="16"/>
      <c r="D757" s="16"/>
      <c r="E757" s="1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>
      <c r="A758" s="16"/>
      <c r="B758" s="16"/>
      <c r="C758" s="16"/>
      <c r="D758" s="16"/>
      <c r="E758" s="1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>
      <c r="A759" s="16"/>
      <c r="B759" s="16"/>
      <c r="C759" s="16"/>
      <c r="D759" s="16"/>
      <c r="E759" s="1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>
      <c r="A760" s="16"/>
      <c r="B760" s="16"/>
      <c r="C760" s="16"/>
      <c r="D760" s="16"/>
      <c r="E760" s="1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>
      <c r="A761" s="16"/>
      <c r="B761" s="16"/>
      <c r="C761" s="16"/>
      <c r="D761" s="16"/>
      <c r="E761" s="1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>
      <c r="A762" s="16"/>
      <c r="B762" s="16"/>
      <c r="C762" s="16"/>
      <c r="D762" s="16"/>
      <c r="E762" s="1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>
      <c r="A763" s="16"/>
      <c r="B763" s="16"/>
      <c r="C763" s="16"/>
      <c r="D763" s="16"/>
      <c r="E763" s="1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>
      <c r="A764" s="16"/>
      <c r="B764" s="16"/>
      <c r="C764" s="16"/>
      <c r="D764" s="16"/>
      <c r="E764" s="1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>
      <c r="A765" s="16"/>
      <c r="B765" s="16"/>
      <c r="C765" s="16"/>
      <c r="D765" s="16"/>
      <c r="E765" s="1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>
      <c r="A766" s="16"/>
      <c r="B766" s="16"/>
      <c r="C766" s="16"/>
      <c r="D766" s="16"/>
      <c r="E766" s="1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>
      <c r="A767" s="16"/>
      <c r="B767" s="16"/>
      <c r="C767" s="16"/>
      <c r="D767" s="16"/>
      <c r="E767" s="1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>
      <c r="A768" s="16"/>
      <c r="B768" s="16"/>
      <c r="C768" s="16"/>
      <c r="D768" s="16"/>
      <c r="E768" s="1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>
      <c r="A769" s="16"/>
      <c r="B769" s="16"/>
      <c r="C769" s="16"/>
      <c r="D769" s="16"/>
      <c r="E769" s="1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>
      <c r="A770" s="16"/>
      <c r="B770" s="16"/>
      <c r="C770" s="16"/>
      <c r="D770" s="16"/>
      <c r="E770" s="1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>
      <c r="A771" s="16"/>
      <c r="B771" s="16"/>
      <c r="C771" s="16"/>
      <c r="D771" s="16"/>
      <c r="E771" s="1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>
      <c r="A772" s="16"/>
      <c r="B772" s="16"/>
      <c r="C772" s="16"/>
      <c r="D772" s="16"/>
      <c r="E772" s="1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>
      <c r="A773" s="16"/>
      <c r="B773" s="16"/>
      <c r="C773" s="16"/>
      <c r="D773" s="16"/>
      <c r="E773" s="1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>
      <c r="A774" s="16"/>
      <c r="B774" s="16"/>
      <c r="C774" s="16"/>
      <c r="D774" s="16"/>
      <c r="E774" s="1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>
      <c r="A775" s="16"/>
      <c r="B775" s="16"/>
      <c r="C775" s="16"/>
      <c r="D775" s="16"/>
      <c r="E775" s="1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>
      <c r="A776" s="16"/>
      <c r="B776" s="16"/>
      <c r="C776" s="16"/>
      <c r="D776" s="16"/>
      <c r="E776" s="1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>
      <c r="A777" s="16"/>
      <c r="B777" s="16"/>
      <c r="C777" s="16"/>
      <c r="D777" s="16"/>
      <c r="E777" s="1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>
      <c r="A778" s="16"/>
      <c r="B778" s="16"/>
      <c r="C778" s="16"/>
      <c r="D778" s="16"/>
      <c r="E778" s="1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>
      <c r="A779" s="16"/>
      <c r="B779" s="16"/>
      <c r="C779" s="16"/>
      <c r="D779" s="16"/>
      <c r="E779" s="1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>
      <c r="A780" s="16"/>
      <c r="B780" s="16"/>
      <c r="C780" s="16"/>
      <c r="D780" s="16"/>
      <c r="E780" s="1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>
      <c r="A781" s="16"/>
      <c r="B781" s="16"/>
      <c r="C781" s="16"/>
      <c r="D781" s="16"/>
      <c r="E781" s="1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>
      <c r="A782" s="16"/>
      <c r="B782" s="16"/>
      <c r="C782" s="16"/>
      <c r="D782" s="16"/>
      <c r="E782" s="1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>
      <c r="A783" s="16"/>
      <c r="B783" s="16"/>
      <c r="C783" s="16"/>
      <c r="D783" s="16"/>
      <c r="E783" s="1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>
      <c r="A784" s="16"/>
      <c r="B784" s="16"/>
      <c r="C784" s="16"/>
      <c r="D784" s="16"/>
      <c r="E784" s="1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>
      <c r="A785" s="16"/>
      <c r="B785" s="16"/>
      <c r="C785" s="16"/>
      <c r="D785" s="16"/>
      <c r="E785" s="1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>
      <c r="A786" s="16"/>
      <c r="B786" s="16"/>
      <c r="C786" s="16"/>
      <c r="D786" s="16"/>
      <c r="E786" s="1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>
      <c r="A787" s="16"/>
      <c r="B787" s="16"/>
      <c r="C787" s="16"/>
      <c r="D787" s="16"/>
      <c r="E787" s="1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>
      <c r="A788" s="16"/>
      <c r="B788" s="16"/>
      <c r="C788" s="16"/>
      <c r="D788" s="16"/>
      <c r="E788" s="1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>
      <c r="A789" s="16"/>
      <c r="B789" s="16"/>
      <c r="C789" s="16"/>
      <c r="D789" s="16"/>
      <c r="E789" s="1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>
      <c r="A790" s="16"/>
      <c r="B790" s="16"/>
      <c r="C790" s="16"/>
      <c r="D790" s="16"/>
      <c r="E790" s="1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>
      <c r="A791" s="16"/>
      <c r="B791" s="16"/>
      <c r="C791" s="16"/>
      <c r="D791" s="16"/>
      <c r="E791" s="1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>
      <c r="A792" s="16"/>
      <c r="B792" s="16"/>
      <c r="C792" s="16"/>
      <c r="D792" s="16"/>
      <c r="E792" s="1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>
      <c r="A793" s="16"/>
      <c r="B793" s="16"/>
      <c r="C793" s="16"/>
      <c r="D793" s="16"/>
      <c r="E793" s="1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>
      <c r="A794" s="16"/>
      <c r="B794" s="16"/>
      <c r="C794" s="16"/>
      <c r="D794" s="16"/>
      <c r="E794" s="1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>
      <c r="A795" s="16"/>
      <c r="B795" s="16"/>
      <c r="C795" s="16"/>
      <c r="D795" s="16"/>
      <c r="E795" s="1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>
      <c r="A796" s="16"/>
      <c r="B796" s="16"/>
      <c r="C796" s="16"/>
      <c r="D796" s="16"/>
      <c r="E796" s="1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>
      <c r="A797" s="16"/>
      <c r="B797" s="16"/>
      <c r="C797" s="16"/>
      <c r="D797" s="16"/>
      <c r="E797" s="1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>
      <c r="A798" s="16"/>
      <c r="B798" s="16"/>
      <c r="C798" s="16"/>
      <c r="D798" s="16"/>
      <c r="E798" s="1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>
      <c r="A799" s="16"/>
      <c r="B799" s="16"/>
      <c r="C799" s="16"/>
      <c r="D799" s="16"/>
      <c r="E799" s="1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>
      <c r="A800" s="16"/>
      <c r="B800" s="16"/>
      <c r="C800" s="16"/>
      <c r="D800" s="16"/>
      <c r="E800" s="1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>
      <c r="A801" s="16"/>
      <c r="B801" s="16"/>
      <c r="C801" s="16"/>
      <c r="D801" s="16"/>
      <c r="E801" s="1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>
      <c r="A802" s="16"/>
      <c r="B802" s="16"/>
      <c r="C802" s="16"/>
      <c r="D802" s="16"/>
      <c r="E802" s="1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>
      <c r="A803" s="16"/>
      <c r="B803" s="16"/>
      <c r="C803" s="16"/>
      <c r="D803" s="16"/>
      <c r="E803" s="1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>
      <c r="A804" s="16"/>
      <c r="B804" s="16"/>
      <c r="C804" s="16"/>
      <c r="D804" s="16"/>
      <c r="E804" s="1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>
      <c r="A805" s="16"/>
      <c r="B805" s="16"/>
      <c r="C805" s="16"/>
      <c r="D805" s="16"/>
      <c r="E805" s="1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>
      <c r="A806" s="16"/>
      <c r="B806" s="16"/>
      <c r="C806" s="16"/>
      <c r="D806" s="16"/>
      <c r="E806" s="1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>
      <c r="A807" s="16"/>
      <c r="B807" s="16"/>
      <c r="C807" s="16"/>
      <c r="D807" s="16"/>
      <c r="E807" s="1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>
      <c r="A808" s="16"/>
      <c r="B808" s="16"/>
      <c r="C808" s="16"/>
      <c r="D808" s="16"/>
      <c r="E808" s="1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>
      <c r="A809" s="16"/>
      <c r="B809" s="16"/>
      <c r="C809" s="16"/>
      <c r="D809" s="16"/>
      <c r="E809" s="1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>
      <c r="A810" s="16"/>
      <c r="B810" s="16"/>
      <c r="C810" s="16"/>
      <c r="D810" s="16"/>
      <c r="E810" s="1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>
      <c r="A811" s="16"/>
      <c r="B811" s="16"/>
      <c r="C811" s="16"/>
      <c r="D811" s="16"/>
      <c r="E811" s="1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>
      <c r="A812" s="16"/>
      <c r="B812" s="16"/>
      <c r="C812" s="16"/>
      <c r="D812" s="16"/>
      <c r="E812" s="1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>
      <c r="A813" s="16"/>
      <c r="B813" s="16"/>
      <c r="C813" s="16"/>
      <c r="D813" s="16"/>
      <c r="E813" s="1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>
      <c r="A814" s="16"/>
      <c r="B814" s="16"/>
      <c r="C814" s="16"/>
      <c r="D814" s="16"/>
      <c r="E814" s="1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>
      <c r="A815" s="16"/>
      <c r="B815" s="16"/>
      <c r="C815" s="16"/>
      <c r="D815" s="16"/>
      <c r="E815" s="1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>
      <c r="A816" s="16"/>
      <c r="B816" s="16"/>
      <c r="C816" s="16"/>
      <c r="D816" s="16"/>
      <c r="E816" s="1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>
      <c r="A817" s="16"/>
      <c r="B817" s="16"/>
      <c r="C817" s="16"/>
      <c r="D817" s="16"/>
      <c r="E817" s="1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>
      <c r="A818" s="16"/>
      <c r="B818" s="16"/>
      <c r="C818" s="16"/>
      <c r="D818" s="16"/>
      <c r="E818" s="1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>
      <c r="A819" s="16"/>
      <c r="B819" s="16"/>
      <c r="C819" s="16"/>
      <c r="D819" s="16"/>
      <c r="E819" s="1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>
      <c r="A820" s="16"/>
      <c r="B820" s="16"/>
      <c r="C820" s="16"/>
      <c r="D820" s="16"/>
      <c r="E820" s="1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>
      <c r="A821" s="16"/>
      <c r="B821" s="16"/>
      <c r="C821" s="16"/>
      <c r="D821" s="16"/>
      <c r="E821" s="1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>
      <c r="A822" s="16"/>
      <c r="B822" s="16"/>
      <c r="C822" s="16"/>
      <c r="D822" s="16"/>
      <c r="E822" s="1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>
      <c r="A823" s="16"/>
      <c r="B823" s="16"/>
      <c r="C823" s="16"/>
      <c r="D823" s="16"/>
      <c r="E823" s="1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>
      <c r="A824" s="16"/>
      <c r="B824" s="16"/>
      <c r="C824" s="16"/>
      <c r="D824" s="16"/>
      <c r="E824" s="1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>
      <c r="A825" s="16"/>
      <c r="B825" s="16"/>
      <c r="C825" s="16"/>
      <c r="D825" s="16"/>
      <c r="E825" s="1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>
      <c r="A826" s="16"/>
      <c r="B826" s="16"/>
      <c r="C826" s="16"/>
      <c r="D826" s="16"/>
      <c r="E826" s="1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>
      <c r="A827" s="16"/>
      <c r="B827" s="16"/>
      <c r="C827" s="16"/>
      <c r="D827" s="16"/>
      <c r="E827" s="1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>
      <c r="A828" s="16"/>
      <c r="B828" s="16"/>
      <c r="C828" s="16"/>
      <c r="D828" s="16"/>
      <c r="E828" s="1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>
      <c r="A829" s="16"/>
      <c r="B829" s="16"/>
      <c r="C829" s="16"/>
      <c r="D829" s="16"/>
      <c r="E829" s="1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>
      <c r="A830" s="16"/>
      <c r="B830" s="16"/>
      <c r="C830" s="16"/>
      <c r="D830" s="16"/>
      <c r="E830" s="1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>
      <c r="A831" s="16"/>
      <c r="B831" s="16"/>
      <c r="C831" s="16"/>
      <c r="D831" s="16"/>
      <c r="E831" s="1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>
      <c r="A832" s="16"/>
      <c r="B832" s="16"/>
      <c r="C832" s="16"/>
      <c r="D832" s="16"/>
      <c r="E832" s="1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>
      <c r="A833" s="16"/>
      <c r="B833" s="16"/>
      <c r="C833" s="16"/>
      <c r="D833" s="16"/>
      <c r="E833" s="1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>
      <c r="A834" s="16"/>
      <c r="B834" s="16"/>
      <c r="C834" s="16"/>
      <c r="D834" s="16"/>
      <c r="E834" s="1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>
      <c r="A835" s="16"/>
      <c r="B835" s="16"/>
      <c r="C835" s="16"/>
      <c r="D835" s="16"/>
      <c r="E835" s="1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>
      <c r="A836" s="16"/>
      <c r="B836" s="16"/>
      <c r="C836" s="16"/>
      <c r="D836" s="16"/>
      <c r="E836" s="1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>
      <c r="A837" s="16"/>
      <c r="B837" s="16"/>
      <c r="C837" s="16"/>
      <c r="D837" s="16"/>
      <c r="E837" s="1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>
      <c r="A838" s="16"/>
      <c r="B838" s="16"/>
      <c r="C838" s="16"/>
      <c r="D838" s="16"/>
      <c r="E838" s="1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>
      <c r="A839" s="16"/>
      <c r="B839" s="16"/>
      <c r="C839" s="16"/>
      <c r="D839" s="16"/>
      <c r="E839" s="1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>
      <c r="A840" s="16"/>
      <c r="B840" s="16"/>
      <c r="C840" s="16"/>
      <c r="D840" s="16"/>
      <c r="E840" s="1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>
      <c r="A841" s="16"/>
      <c r="B841" s="16"/>
      <c r="C841" s="16"/>
      <c r="D841" s="16"/>
      <c r="E841" s="1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>
      <c r="A842" s="16"/>
      <c r="B842" s="16"/>
      <c r="C842" s="16"/>
      <c r="D842" s="16"/>
      <c r="E842" s="1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>
      <c r="A843" s="16"/>
      <c r="B843" s="16"/>
      <c r="C843" s="16"/>
      <c r="D843" s="16"/>
      <c r="E843" s="1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>
      <c r="A844" s="16"/>
      <c r="B844" s="16"/>
      <c r="C844" s="16"/>
      <c r="D844" s="16"/>
      <c r="E844" s="1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>
      <c r="A845" s="16"/>
      <c r="B845" s="16"/>
      <c r="C845" s="16"/>
      <c r="D845" s="16"/>
      <c r="E845" s="1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>
      <c r="A846" s="16"/>
      <c r="B846" s="16"/>
      <c r="C846" s="16"/>
      <c r="D846" s="16"/>
      <c r="E846" s="1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>
      <c r="A847" s="16"/>
      <c r="B847" s="16"/>
      <c r="C847" s="16"/>
      <c r="D847" s="16"/>
      <c r="E847" s="1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>
      <c r="A848" s="16"/>
      <c r="B848" s="16"/>
      <c r="C848" s="16"/>
      <c r="D848" s="16"/>
      <c r="E848" s="1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>
      <c r="A849" s="16"/>
      <c r="B849" s="16"/>
      <c r="C849" s="16"/>
      <c r="D849" s="16"/>
      <c r="E849" s="1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>
      <c r="A850" s="16"/>
      <c r="B850" s="16"/>
      <c r="C850" s="16"/>
      <c r="D850" s="16"/>
      <c r="E850" s="1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>
      <c r="A851" s="16"/>
      <c r="B851" s="16"/>
      <c r="C851" s="16"/>
      <c r="D851" s="16"/>
      <c r="E851" s="1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>
      <c r="A852" s="16"/>
      <c r="B852" s="16"/>
      <c r="C852" s="16"/>
      <c r="D852" s="16"/>
      <c r="E852" s="1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>
      <c r="A853" s="16"/>
      <c r="B853" s="16"/>
      <c r="C853" s="16"/>
      <c r="D853" s="16"/>
      <c r="E853" s="1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>
      <c r="A854" s="16"/>
      <c r="B854" s="16"/>
      <c r="C854" s="16"/>
      <c r="D854" s="16"/>
      <c r="E854" s="1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>
      <c r="A855" s="16"/>
      <c r="B855" s="16"/>
      <c r="C855" s="16"/>
      <c r="D855" s="16"/>
      <c r="E855" s="1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>
      <c r="A856" s="16"/>
      <c r="B856" s="16"/>
      <c r="C856" s="16"/>
      <c r="D856" s="16"/>
      <c r="E856" s="1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>
      <c r="A857" s="16"/>
      <c r="B857" s="16"/>
      <c r="C857" s="16"/>
      <c r="D857" s="16"/>
      <c r="E857" s="1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>
      <c r="A858" s="16"/>
      <c r="B858" s="16"/>
      <c r="C858" s="16"/>
      <c r="D858" s="16"/>
      <c r="E858" s="1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>
      <c r="A859" s="16"/>
      <c r="B859" s="16"/>
      <c r="C859" s="16"/>
      <c r="D859" s="16"/>
      <c r="E859" s="1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>
      <c r="A860" s="16"/>
      <c r="B860" s="16"/>
      <c r="C860" s="16"/>
      <c r="D860" s="16"/>
      <c r="E860" s="1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>
      <c r="A861" s="16"/>
      <c r="B861" s="16"/>
      <c r="C861" s="16"/>
      <c r="D861" s="16"/>
      <c r="E861" s="1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>
      <c r="A862" s="16"/>
      <c r="B862" s="16"/>
      <c r="C862" s="16"/>
      <c r="D862" s="16"/>
      <c r="E862" s="1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>
      <c r="A863" s="16"/>
      <c r="B863" s="16"/>
      <c r="C863" s="16"/>
      <c r="D863" s="16"/>
      <c r="E863" s="1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>
      <c r="A864" s="16"/>
      <c r="B864" s="16"/>
      <c r="C864" s="16"/>
      <c r="D864" s="16"/>
      <c r="E864" s="1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>
      <c r="A865" s="16"/>
      <c r="B865" s="16"/>
      <c r="C865" s="16"/>
      <c r="D865" s="16"/>
      <c r="E865" s="1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>
      <c r="A866" s="16"/>
      <c r="B866" s="16"/>
      <c r="C866" s="16"/>
      <c r="D866" s="16"/>
      <c r="E866" s="1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>
      <c r="A867" s="16"/>
      <c r="B867" s="16"/>
      <c r="C867" s="16"/>
      <c r="D867" s="16"/>
      <c r="E867" s="1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>
      <c r="A868" s="16"/>
      <c r="B868" s="16"/>
      <c r="C868" s="16"/>
      <c r="D868" s="16"/>
      <c r="E868" s="1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>
      <c r="A869" s="16"/>
      <c r="B869" s="16"/>
      <c r="C869" s="16"/>
      <c r="D869" s="16"/>
      <c r="E869" s="1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>
      <c r="A870" s="16"/>
      <c r="B870" s="16"/>
      <c r="C870" s="16"/>
      <c r="D870" s="16"/>
      <c r="E870" s="1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>
      <c r="A871" s="16"/>
      <c r="B871" s="16"/>
      <c r="C871" s="16"/>
      <c r="D871" s="16"/>
      <c r="E871" s="1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>
      <c r="A872" s="16"/>
      <c r="B872" s="16"/>
      <c r="C872" s="16"/>
      <c r="D872" s="16"/>
      <c r="E872" s="1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>
      <c r="A873" s="16"/>
      <c r="B873" s="16"/>
      <c r="C873" s="16"/>
      <c r="D873" s="16"/>
      <c r="E873" s="1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>
      <c r="A874" s="16"/>
      <c r="B874" s="16"/>
      <c r="C874" s="16"/>
      <c r="D874" s="16"/>
      <c r="E874" s="1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>
      <c r="A875" s="16"/>
      <c r="B875" s="16"/>
      <c r="C875" s="16"/>
      <c r="D875" s="16"/>
      <c r="E875" s="1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>
      <c r="A876" s="16"/>
      <c r="B876" s="16"/>
      <c r="C876" s="16"/>
      <c r="D876" s="16"/>
      <c r="E876" s="1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>
      <c r="A877" s="16"/>
      <c r="B877" s="16"/>
      <c r="C877" s="16"/>
      <c r="D877" s="16"/>
      <c r="E877" s="1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>
      <c r="A878" s="16"/>
      <c r="B878" s="16"/>
      <c r="C878" s="16"/>
      <c r="D878" s="16"/>
      <c r="E878" s="1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>
      <c r="A879" s="16"/>
      <c r="B879" s="16"/>
      <c r="C879" s="16"/>
      <c r="D879" s="16"/>
      <c r="E879" s="1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>
      <c r="A880" s="16"/>
      <c r="B880" s="16"/>
      <c r="C880" s="16"/>
      <c r="D880" s="16"/>
      <c r="E880" s="1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>
      <c r="A881" s="16"/>
      <c r="B881" s="16"/>
      <c r="C881" s="16"/>
      <c r="D881" s="16"/>
      <c r="E881" s="1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>
      <c r="A882" s="16"/>
      <c r="B882" s="16"/>
      <c r="C882" s="16"/>
      <c r="D882" s="16"/>
      <c r="E882" s="1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>
      <c r="A883" s="16"/>
      <c r="B883" s="16"/>
      <c r="C883" s="16"/>
      <c r="D883" s="16"/>
      <c r="E883" s="1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>
      <c r="A884" s="16"/>
      <c r="B884" s="16"/>
      <c r="C884" s="16"/>
      <c r="D884" s="16"/>
      <c r="E884" s="1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>
      <c r="A885" s="16"/>
      <c r="B885" s="16"/>
      <c r="C885" s="16"/>
      <c r="D885" s="16"/>
      <c r="E885" s="1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>
      <c r="A886" s="16"/>
      <c r="B886" s="16"/>
      <c r="C886" s="16"/>
      <c r="D886" s="16"/>
      <c r="E886" s="1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>
      <c r="A887" s="16"/>
      <c r="B887" s="16"/>
      <c r="C887" s="16"/>
      <c r="D887" s="16"/>
      <c r="E887" s="1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>
      <c r="A888" s="16"/>
      <c r="B888" s="16"/>
      <c r="C888" s="16"/>
      <c r="D888" s="16"/>
      <c r="E888" s="1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>
      <c r="A889" s="16"/>
      <c r="B889" s="16"/>
      <c r="C889" s="16"/>
      <c r="D889" s="16"/>
      <c r="E889" s="1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>
      <c r="A890" s="16"/>
      <c r="B890" s="16"/>
      <c r="C890" s="16"/>
      <c r="D890" s="16"/>
      <c r="E890" s="1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>
      <c r="A891" s="16"/>
      <c r="B891" s="16"/>
      <c r="C891" s="16"/>
      <c r="D891" s="16"/>
      <c r="E891" s="1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>
      <c r="A892" s="16"/>
      <c r="B892" s="16"/>
      <c r="C892" s="16"/>
      <c r="D892" s="16"/>
      <c r="E892" s="1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>
      <c r="A893" s="16"/>
      <c r="B893" s="16"/>
      <c r="C893" s="16"/>
      <c r="D893" s="16"/>
      <c r="E893" s="1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>
      <c r="A894" s="16"/>
      <c r="B894" s="16"/>
      <c r="C894" s="16"/>
      <c r="D894" s="16"/>
      <c r="E894" s="1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>
      <c r="A895" s="16"/>
      <c r="B895" s="16"/>
      <c r="C895" s="16"/>
      <c r="D895" s="16"/>
      <c r="E895" s="1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>
      <c r="A896" s="16"/>
      <c r="B896" s="16"/>
      <c r="C896" s="16"/>
      <c r="D896" s="16"/>
      <c r="E896" s="1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>
      <c r="A897" s="16"/>
      <c r="B897" s="16"/>
      <c r="C897" s="16"/>
      <c r="D897" s="16"/>
      <c r="E897" s="1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>
      <c r="A898" s="16"/>
      <c r="B898" s="16"/>
      <c r="C898" s="16"/>
      <c r="D898" s="16"/>
      <c r="E898" s="1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>
      <c r="A899" s="16"/>
      <c r="B899" s="16"/>
      <c r="C899" s="16"/>
      <c r="D899" s="16"/>
      <c r="E899" s="1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>
      <c r="A900" s="16"/>
      <c r="B900" s="16"/>
      <c r="C900" s="16"/>
      <c r="D900" s="16"/>
      <c r="E900" s="1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>
      <c r="A901" s="16"/>
      <c r="B901" s="16"/>
      <c r="C901" s="16"/>
      <c r="D901" s="16"/>
      <c r="E901" s="1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>
      <c r="A902" s="16"/>
      <c r="B902" s="16"/>
      <c r="C902" s="16"/>
      <c r="D902" s="16"/>
      <c r="E902" s="1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>
      <c r="A903" s="16"/>
      <c r="B903" s="16"/>
      <c r="C903" s="16"/>
      <c r="D903" s="16"/>
      <c r="E903" s="1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>
      <c r="A904" s="16"/>
      <c r="B904" s="16"/>
      <c r="C904" s="16"/>
      <c r="D904" s="16"/>
      <c r="E904" s="1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>
      <c r="A905" s="16"/>
      <c r="B905" s="16"/>
      <c r="C905" s="16"/>
      <c r="D905" s="16"/>
      <c r="E905" s="1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>
      <c r="A906" s="16"/>
      <c r="B906" s="16"/>
      <c r="C906" s="16"/>
      <c r="D906" s="16"/>
      <c r="E906" s="1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>
      <c r="A907" s="16"/>
      <c r="B907" s="16"/>
      <c r="C907" s="16"/>
      <c r="D907" s="16"/>
      <c r="E907" s="1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>
      <c r="A908" s="16"/>
      <c r="B908" s="16"/>
      <c r="C908" s="16"/>
      <c r="D908" s="16"/>
      <c r="E908" s="1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>
      <c r="A909" s="16"/>
      <c r="B909" s="16"/>
      <c r="C909" s="16"/>
      <c r="D909" s="16"/>
      <c r="E909" s="1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>
      <c r="A910" s="16"/>
      <c r="B910" s="16"/>
      <c r="C910" s="16"/>
      <c r="D910" s="16"/>
      <c r="E910" s="1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>
      <c r="A911" s="16"/>
      <c r="B911" s="16"/>
      <c r="C911" s="16"/>
      <c r="D911" s="16"/>
      <c r="E911" s="1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>
      <c r="A912" s="16"/>
      <c r="B912" s="16"/>
      <c r="C912" s="16"/>
      <c r="D912" s="16"/>
      <c r="E912" s="1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>
      <c r="A913" s="16"/>
      <c r="B913" s="16"/>
      <c r="C913" s="16"/>
      <c r="D913" s="16"/>
      <c r="E913" s="1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>
      <c r="A914" s="16"/>
      <c r="B914" s="16"/>
      <c r="C914" s="16"/>
      <c r="D914" s="16"/>
      <c r="E914" s="1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>
      <c r="A915" s="16"/>
      <c r="B915" s="16"/>
      <c r="C915" s="16"/>
      <c r="D915" s="16"/>
      <c r="E915" s="1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>
      <c r="A916" s="16"/>
      <c r="B916" s="16"/>
      <c r="C916" s="16"/>
      <c r="D916" s="16"/>
      <c r="E916" s="1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>
      <c r="A917" s="16"/>
      <c r="B917" s="16"/>
      <c r="C917" s="16"/>
      <c r="D917" s="16"/>
      <c r="E917" s="1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>
      <c r="A918" s="16"/>
      <c r="B918" s="16"/>
      <c r="C918" s="16"/>
      <c r="D918" s="16"/>
      <c r="E918" s="1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>
      <c r="A919" s="16"/>
      <c r="B919" s="16"/>
      <c r="C919" s="16"/>
      <c r="D919" s="16"/>
      <c r="E919" s="1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>
      <c r="A920" s="16"/>
      <c r="B920" s="16"/>
      <c r="C920" s="16"/>
      <c r="D920" s="16"/>
      <c r="E920" s="1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>
      <c r="A921" s="16"/>
      <c r="B921" s="16"/>
      <c r="C921" s="16"/>
      <c r="D921" s="16"/>
      <c r="E921" s="1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>
      <c r="A922" s="16"/>
      <c r="B922" s="16"/>
      <c r="C922" s="16"/>
      <c r="D922" s="16"/>
      <c r="E922" s="1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>
      <c r="A923" s="16"/>
      <c r="B923" s="16"/>
      <c r="C923" s="16"/>
      <c r="D923" s="16"/>
      <c r="E923" s="1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>
      <c r="A924" s="16"/>
      <c r="B924" s="16"/>
      <c r="C924" s="16"/>
      <c r="D924" s="16"/>
      <c r="E924" s="1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>
      <c r="A925" s="16"/>
      <c r="B925" s="16"/>
      <c r="C925" s="16"/>
      <c r="D925" s="16"/>
      <c r="E925" s="1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>
      <c r="A926" s="16"/>
      <c r="B926" s="16"/>
      <c r="C926" s="16"/>
      <c r="D926" s="16"/>
      <c r="E926" s="1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>
      <c r="A927" s="16"/>
      <c r="B927" s="16"/>
      <c r="C927" s="16"/>
      <c r="D927" s="16"/>
      <c r="E927" s="1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>
      <c r="A928" s="16"/>
      <c r="B928" s="16"/>
      <c r="C928" s="16"/>
      <c r="D928" s="16"/>
      <c r="E928" s="1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>
      <c r="A929" s="16"/>
      <c r="B929" s="16"/>
      <c r="C929" s="16"/>
      <c r="D929" s="16"/>
      <c r="E929" s="1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>
      <c r="A930" s="16"/>
      <c r="B930" s="16"/>
      <c r="C930" s="16"/>
      <c r="D930" s="16"/>
      <c r="E930" s="1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>
      <c r="A931" s="16"/>
      <c r="B931" s="16"/>
      <c r="C931" s="16"/>
      <c r="D931" s="16"/>
      <c r="E931" s="1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>
      <c r="A932" s="16"/>
      <c r="B932" s="16"/>
      <c r="C932" s="16"/>
      <c r="D932" s="16"/>
      <c r="E932" s="1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>
      <c r="A933" s="16"/>
      <c r="B933" s="16"/>
      <c r="C933" s="16"/>
      <c r="D933" s="16"/>
      <c r="E933" s="1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>
      <c r="A934" s="16"/>
      <c r="B934" s="16"/>
      <c r="C934" s="16"/>
      <c r="D934" s="16"/>
      <c r="E934" s="1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>
      <c r="A935" s="16"/>
      <c r="B935" s="16"/>
      <c r="C935" s="16"/>
      <c r="D935" s="16"/>
      <c r="E935" s="1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>
      <c r="A936" s="16"/>
      <c r="B936" s="16"/>
      <c r="C936" s="16"/>
      <c r="D936" s="16"/>
      <c r="E936" s="1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>
      <c r="A937" s="16"/>
      <c r="B937" s="16"/>
      <c r="C937" s="16"/>
      <c r="D937" s="16"/>
      <c r="E937" s="1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>
      <c r="A938" s="16"/>
      <c r="B938" s="16"/>
      <c r="C938" s="16"/>
      <c r="D938" s="16"/>
      <c r="E938" s="1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>
      <c r="A939" s="16"/>
      <c r="B939" s="16"/>
      <c r="C939" s="16"/>
      <c r="D939" s="16"/>
      <c r="E939" s="1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>
      <c r="A940" s="16"/>
      <c r="B940" s="16"/>
      <c r="C940" s="16"/>
      <c r="D940" s="16"/>
      <c r="E940" s="1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>
      <c r="A941" s="16"/>
      <c r="B941" s="16"/>
      <c r="C941" s="16"/>
      <c r="D941" s="16"/>
      <c r="E941" s="1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>
      <c r="A942" s="16"/>
      <c r="B942" s="16"/>
      <c r="C942" s="16"/>
      <c r="D942" s="16"/>
      <c r="E942" s="1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>
      <c r="A943" s="16"/>
      <c r="B943" s="16"/>
      <c r="C943" s="16"/>
      <c r="D943" s="16"/>
      <c r="E943" s="1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>
      <c r="A944" s="16"/>
      <c r="B944" s="16"/>
      <c r="C944" s="16"/>
      <c r="D944" s="16"/>
      <c r="E944" s="1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>
      <c r="A945" s="16"/>
      <c r="B945" s="16"/>
      <c r="C945" s="16"/>
      <c r="D945" s="16"/>
      <c r="E945" s="1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>
      <c r="A946" s="16"/>
      <c r="B946" s="16"/>
      <c r="C946" s="16"/>
      <c r="D946" s="16"/>
      <c r="E946" s="1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>
      <c r="A947" s="16"/>
      <c r="B947" s="16"/>
      <c r="C947" s="16"/>
      <c r="D947" s="16"/>
      <c r="E947" s="1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>
      <c r="A948" s="16"/>
      <c r="B948" s="16"/>
      <c r="C948" s="16"/>
      <c r="D948" s="16"/>
      <c r="E948" s="1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>
      <c r="A949" s="16"/>
      <c r="B949" s="16"/>
      <c r="C949" s="16"/>
      <c r="D949" s="16"/>
      <c r="E949" s="1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>
      <c r="A950" s="16"/>
      <c r="B950" s="16"/>
      <c r="C950" s="16"/>
      <c r="D950" s="16"/>
      <c r="E950" s="1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>
      <c r="A951" s="16"/>
      <c r="B951" s="16"/>
      <c r="C951" s="16"/>
      <c r="D951" s="16"/>
      <c r="E951" s="1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>
      <c r="A952" s="16"/>
      <c r="B952" s="16"/>
      <c r="C952" s="16"/>
      <c r="D952" s="16"/>
      <c r="E952" s="1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>
      <c r="A953" s="16"/>
      <c r="B953" s="16"/>
      <c r="C953" s="16"/>
      <c r="D953" s="16"/>
      <c r="E953" s="1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>
      <c r="A954" s="16"/>
      <c r="B954" s="16"/>
      <c r="C954" s="16"/>
      <c r="D954" s="16"/>
      <c r="E954" s="1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>
      <c r="A955" s="16"/>
      <c r="B955" s="16"/>
      <c r="C955" s="16"/>
      <c r="D955" s="16"/>
      <c r="E955" s="1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>
      <c r="A956" s="16"/>
      <c r="B956" s="16"/>
      <c r="C956" s="16"/>
      <c r="D956" s="16"/>
      <c r="E956" s="1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>
      <c r="A957" s="16"/>
      <c r="B957" s="16"/>
      <c r="C957" s="16"/>
      <c r="D957" s="16"/>
      <c r="E957" s="1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>
      <c r="A958" s="16"/>
      <c r="B958" s="16"/>
      <c r="C958" s="16"/>
      <c r="D958" s="16"/>
      <c r="E958" s="1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>
      <c r="A959" s="16"/>
      <c r="B959" s="16"/>
      <c r="C959" s="16"/>
      <c r="D959" s="16"/>
      <c r="E959" s="1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>
      <c r="A960" s="16"/>
      <c r="B960" s="16"/>
      <c r="C960" s="16"/>
      <c r="D960" s="16"/>
      <c r="E960" s="1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>
      <c r="A961" s="16"/>
      <c r="B961" s="16"/>
      <c r="C961" s="16"/>
      <c r="D961" s="16"/>
      <c r="E961" s="1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>
      <c r="A962" s="16"/>
      <c r="B962" s="16"/>
      <c r="C962" s="16"/>
      <c r="D962" s="16"/>
      <c r="E962" s="1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>
      <c r="A963" s="16"/>
      <c r="B963" s="16"/>
      <c r="C963" s="16"/>
      <c r="D963" s="16"/>
      <c r="E963" s="1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>
      <c r="A964" s="16"/>
      <c r="B964" s="16"/>
      <c r="C964" s="16"/>
      <c r="D964" s="16"/>
      <c r="E964" s="1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>
      <c r="A965" s="16"/>
      <c r="B965" s="16"/>
      <c r="C965" s="16"/>
      <c r="D965" s="16"/>
      <c r="E965" s="1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>
      <c r="A966" s="16"/>
      <c r="B966" s="16"/>
      <c r="C966" s="16"/>
      <c r="D966" s="16"/>
      <c r="E966" s="1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>
      <c r="A967" s="16"/>
      <c r="B967" s="16"/>
      <c r="C967" s="16"/>
      <c r="D967" s="16"/>
      <c r="E967" s="1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>
      <c r="A968" s="16"/>
      <c r="B968" s="16"/>
      <c r="C968" s="16"/>
      <c r="D968" s="16"/>
      <c r="E968" s="1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>
      <c r="A969" s="16"/>
      <c r="B969" s="16"/>
      <c r="C969" s="16"/>
      <c r="D969" s="16"/>
      <c r="E969" s="1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>
      <c r="A970" s="16"/>
      <c r="B970" s="16"/>
      <c r="C970" s="16"/>
      <c r="D970" s="16"/>
      <c r="E970" s="1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>
      <c r="A971" s="16"/>
      <c r="B971" s="16"/>
      <c r="C971" s="16"/>
      <c r="D971" s="16"/>
      <c r="E971" s="1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>
      <c r="A972" s="16"/>
      <c r="B972" s="16"/>
      <c r="C972" s="16"/>
      <c r="D972" s="16"/>
      <c r="E972" s="1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>
      <c r="A973" s="16"/>
      <c r="B973" s="16"/>
      <c r="C973" s="16"/>
      <c r="D973" s="16"/>
      <c r="E973" s="1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>
      <c r="A974" s="16"/>
      <c r="B974" s="16"/>
      <c r="C974" s="16"/>
      <c r="D974" s="16"/>
      <c r="E974" s="1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>
      <c r="A975" s="16"/>
      <c r="B975" s="16"/>
      <c r="C975" s="16"/>
      <c r="D975" s="16"/>
      <c r="E975" s="1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>
      <c r="A976" s="16"/>
      <c r="B976" s="16"/>
      <c r="C976" s="16"/>
      <c r="D976" s="16"/>
      <c r="E976" s="1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>
      <c r="A977" s="16"/>
      <c r="B977" s="16"/>
      <c r="C977" s="16"/>
      <c r="D977" s="16"/>
      <c r="E977" s="1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>
      <c r="A978" s="16"/>
      <c r="B978" s="16"/>
      <c r="C978" s="16"/>
      <c r="D978" s="16"/>
      <c r="E978" s="1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>
      <c r="A979" s="16"/>
      <c r="B979" s="16"/>
      <c r="C979" s="16"/>
      <c r="D979" s="16"/>
      <c r="E979" s="1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>
      <c r="A980" s="16"/>
      <c r="B980" s="16"/>
      <c r="C980" s="16"/>
      <c r="D980" s="16"/>
      <c r="E980" s="1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>
      <c r="A981" s="16"/>
      <c r="B981" s="16"/>
      <c r="C981" s="16"/>
      <c r="D981" s="16"/>
      <c r="E981" s="1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>
      <c r="A982" s="16"/>
      <c r="B982" s="16"/>
      <c r="C982" s="16"/>
      <c r="D982" s="16"/>
      <c r="E982" s="1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>
      <c r="A983" s="16"/>
      <c r="B983" s="16"/>
      <c r="C983" s="16"/>
      <c r="D983" s="16"/>
      <c r="E983" s="1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>
      <c r="A984" s="16"/>
      <c r="B984" s="16"/>
      <c r="C984" s="16"/>
      <c r="D984" s="16"/>
      <c r="E984" s="1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>
      <c r="A985" s="16"/>
      <c r="B985" s="16"/>
      <c r="C985" s="16"/>
      <c r="D985" s="16"/>
      <c r="E985" s="1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>
      <c r="A986" s="16"/>
      <c r="B986" s="16"/>
      <c r="C986" s="16"/>
      <c r="D986" s="16"/>
      <c r="E986" s="1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>
      <c r="A987" s="16"/>
      <c r="B987" s="16"/>
      <c r="C987" s="16"/>
      <c r="D987" s="16"/>
      <c r="E987" s="1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>
      <c r="A988" s="16"/>
      <c r="B988" s="16"/>
      <c r="C988" s="16"/>
      <c r="D988" s="16"/>
      <c r="E988" s="1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>
      <c r="A989" s="16"/>
      <c r="B989" s="16"/>
      <c r="C989" s="16"/>
      <c r="D989" s="16"/>
      <c r="E989" s="1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>
      <c r="A990" s="16"/>
      <c r="B990" s="16"/>
      <c r="C990" s="16"/>
      <c r="D990" s="16"/>
      <c r="E990" s="1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>
      <c r="A991" s="16"/>
      <c r="B991" s="16"/>
      <c r="C991" s="16"/>
      <c r="D991" s="16"/>
      <c r="E991" s="1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>
      <c r="A992" s="16"/>
      <c r="B992" s="16"/>
      <c r="C992" s="16"/>
      <c r="D992" s="16"/>
      <c r="E992" s="1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>
      <c r="A993" s="16"/>
      <c r="B993" s="16"/>
      <c r="C993" s="16"/>
      <c r="D993" s="16"/>
      <c r="E993" s="16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>
      <c r="A994" s="16"/>
      <c r="B994" s="16"/>
      <c r="C994" s="16"/>
      <c r="D994" s="16"/>
      <c r="E994" s="16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>
      <c r="A995" s="16"/>
      <c r="B995" s="16"/>
      <c r="C995" s="16"/>
      <c r="D995" s="16"/>
      <c r="E995" s="1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>
      <c r="A996" s="16"/>
      <c r="B996" s="16"/>
      <c r="C996" s="16"/>
      <c r="D996" s="16"/>
      <c r="E996" s="16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>
      <c r="A997" s="16"/>
      <c r="B997" s="16"/>
      <c r="C997" s="16"/>
      <c r="D997" s="16"/>
      <c r="E997" s="16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>
      <c r="A998" s="16"/>
      <c r="B998" s="16"/>
      <c r="C998" s="16"/>
      <c r="D998" s="16"/>
      <c r="E998" s="16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>
      <c r="A999" s="16"/>
      <c r="B999" s="16"/>
      <c r="C999" s="16"/>
      <c r="D999" s="16"/>
      <c r="E999" s="16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>
      <c r="A1000" s="16"/>
      <c r="B1000" s="16"/>
      <c r="C1000" s="16"/>
      <c r="D1000" s="16"/>
      <c r="E1000" s="16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>
      <c r="A1001" s="16"/>
      <c r="B1001" s="16"/>
      <c r="C1001" s="16"/>
      <c r="D1001" s="16"/>
      <c r="E1001" s="16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</row>
    <row r="1002">
      <c r="A1002" s="16"/>
      <c r="B1002" s="16"/>
      <c r="C1002" s="16"/>
      <c r="D1002" s="16"/>
      <c r="E1002" s="16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</row>
    <row r="1003">
      <c r="A1003" s="16"/>
      <c r="B1003" s="16"/>
      <c r="C1003" s="16"/>
      <c r="D1003" s="16"/>
      <c r="E1003" s="16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</row>
    <row r="1004">
      <c r="A1004" s="16"/>
      <c r="B1004" s="16"/>
      <c r="C1004" s="16"/>
      <c r="D1004" s="16"/>
      <c r="E1004" s="16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</row>
    <row r="1005">
      <c r="A1005" s="16"/>
      <c r="B1005" s="16"/>
      <c r="C1005" s="16"/>
      <c r="D1005" s="16"/>
      <c r="E1005" s="16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</row>
    <row r="1006">
      <c r="A1006" s="16"/>
      <c r="B1006" s="16"/>
      <c r="C1006" s="16"/>
      <c r="D1006" s="16"/>
      <c r="E1006" s="16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</row>
    <row r="1007">
      <c r="A1007" s="16"/>
      <c r="B1007" s="16"/>
      <c r="C1007" s="16"/>
      <c r="D1007" s="16"/>
      <c r="E1007" s="16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</row>
    <row r="1008">
      <c r="A1008" s="16"/>
      <c r="B1008" s="16"/>
      <c r="C1008" s="16"/>
      <c r="D1008" s="16"/>
      <c r="E1008" s="16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</row>
    <row r="1009">
      <c r="A1009" s="16"/>
      <c r="B1009" s="16"/>
      <c r="C1009" s="16"/>
      <c r="D1009" s="16"/>
      <c r="E1009" s="16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</row>
    <row r="1010">
      <c r="A1010" s="16"/>
      <c r="B1010" s="16"/>
      <c r="C1010" s="16"/>
      <c r="D1010" s="16"/>
      <c r="E1010" s="16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</row>
    <row r="1011">
      <c r="A1011" s="16"/>
      <c r="B1011" s="16"/>
      <c r="C1011" s="16"/>
      <c r="D1011" s="16"/>
      <c r="E1011" s="16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</row>
    <row r="1012">
      <c r="A1012" s="16"/>
      <c r="B1012" s="16"/>
      <c r="C1012" s="16"/>
      <c r="D1012" s="16"/>
      <c r="E1012" s="16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</row>
    <row r="1013">
      <c r="A1013" s="16"/>
      <c r="B1013" s="16"/>
      <c r="C1013" s="16"/>
      <c r="D1013" s="16"/>
      <c r="E1013" s="16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</row>
    <row r="1014">
      <c r="A1014" s="16"/>
      <c r="B1014" s="16"/>
      <c r="C1014" s="16"/>
      <c r="D1014" s="16"/>
      <c r="E1014" s="16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</row>
    <row r="1015">
      <c r="A1015" s="16"/>
      <c r="B1015" s="16"/>
      <c r="C1015" s="16"/>
      <c r="D1015" s="16"/>
      <c r="E1015" s="16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</row>
    <row r="1016">
      <c r="A1016" s="16"/>
      <c r="B1016" s="16"/>
      <c r="C1016" s="16"/>
      <c r="D1016" s="16"/>
      <c r="E1016" s="16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</row>
    <row r="1017">
      <c r="A1017" s="16"/>
      <c r="B1017" s="16"/>
      <c r="C1017" s="16"/>
      <c r="D1017" s="16"/>
      <c r="E1017" s="16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</row>
    <row r="1018">
      <c r="A1018" s="16"/>
      <c r="B1018" s="16"/>
      <c r="C1018" s="16"/>
      <c r="D1018" s="16"/>
      <c r="E1018" s="16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</row>
    <row r="1019">
      <c r="A1019" s="16"/>
      <c r="B1019" s="16"/>
      <c r="C1019" s="16"/>
      <c r="D1019" s="16"/>
      <c r="E1019" s="16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</row>
    <row r="1020">
      <c r="A1020" s="16"/>
      <c r="B1020" s="16"/>
      <c r="C1020" s="16"/>
      <c r="D1020" s="16"/>
      <c r="E1020" s="16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</row>
    <row r="1021">
      <c r="A1021" s="16"/>
      <c r="B1021" s="16"/>
      <c r="C1021" s="16"/>
      <c r="D1021" s="16"/>
      <c r="E1021" s="16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</row>
  </sheetData>
  <conditionalFormatting sqref="C7:D19">
    <cfRule type="notContainsBlanks" dxfId="0" priority="1">
      <formula>LEN(TRIM(C7))&gt;0</formula>
    </cfRule>
  </conditionalFormatting>
  <conditionalFormatting sqref="F120:K125">
    <cfRule type="cellIs" dxfId="1" priority="2" operator="equal">
      <formula>"A"</formula>
    </cfRule>
  </conditionalFormatting>
  <conditionalFormatting sqref="F120:K125">
    <cfRule type="cellIs" dxfId="2" priority="3" operator="equal">
      <formula>"B"</formula>
    </cfRule>
  </conditionalFormatting>
  <conditionalFormatting sqref="F120:K125">
    <cfRule type="cellIs" dxfId="3" priority="4" operator="equal">
      <formula>"C"</formula>
    </cfRule>
  </conditionalFormatting>
  <hyperlinks>
    <hyperlink r:id="rId1" ref="M100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 t="s">
        <v>226</v>
      </c>
      <c r="C1" s="143" t="s">
        <v>227</v>
      </c>
      <c r="D1" s="144" t="s">
        <v>228</v>
      </c>
    </row>
    <row r="2">
      <c r="A2" s="143"/>
    </row>
    <row r="3">
      <c r="A3" s="143" t="s">
        <v>229</v>
      </c>
      <c r="E3" s="143" t="s">
        <v>230</v>
      </c>
    </row>
    <row r="4">
      <c r="A4" s="144" t="s">
        <v>231</v>
      </c>
      <c r="C4" t="str">
        <f>REVERSE("asdj823")</f>
        <v>328jdsa</v>
      </c>
      <c r="H4" s="144" t="s">
        <v>232</v>
      </c>
      <c r="I4" s="144" t="s">
        <v>233</v>
      </c>
      <c r="J4" s="144" t="s">
        <v>234</v>
      </c>
      <c r="K4" s="144" t="s">
        <v>232</v>
      </c>
    </row>
    <row r="5">
      <c r="H5" s="144" t="s">
        <v>234</v>
      </c>
      <c r="I5" s="144" t="s">
        <v>232</v>
      </c>
      <c r="J5" s="144" t="s">
        <v>233</v>
      </c>
      <c r="K5" s="144" t="s">
        <v>235</v>
      </c>
    </row>
    <row r="6">
      <c r="A6" s="143" t="s">
        <v>236</v>
      </c>
      <c r="H6" s="144" t="s">
        <v>237</v>
      </c>
      <c r="I6" s="144" t="s">
        <v>238</v>
      </c>
      <c r="J6" s="144" t="s">
        <v>239</v>
      </c>
      <c r="K6" s="144" t="s">
        <v>90</v>
      </c>
    </row>
    <row r="7">
      <c r="A7" s="144" t="s">
        <v>240</v>
      </c>
      <c r="D7">
        <f>MATCH2d("d",H4:K7,2)</f>
        <v>2</v>
      </c>
      <c r="E7">
        <v>1.0</v>
      </c>
      <c r="H7" s="144" t="s">
        <v>239</v>
      </c>
      <c r="I7" s="144" t="s">
        <v>234</v>
      </c>
      <c r="J7" s="144" t="s">
        <v>238</v>
      </c>
      <c r="K7" s="144" t="s">
        <v>241</v>
      </c>
    </row>
    <row r="9">
      <c r="A9" s="143" t="s">
        <v>242</v>
      </c>
    </row>
    <row r="10">
      <c r="A10" s="145" t="s">
        <v>243</v>
      </c>
      <c r="D10" t="str">
        <f>ANAGRAM("Picturegame",7)</f>
        <v>Gametic Peru</v>
      </c>
      <c r="E10" t="s">
        <v>244</v>
      </c>
      <c r="F10" t="s">
        <v>245</v>
      </c>
      <c r="G10" t="s">
        <v>246</v>
      </c>
      <c r="H10" t="s">
        <v>247</v>
      </c>
      <c r="I10" t="s">
        <v>248</v>
      </c>
      <c r="J10" t="s">
        <v>249</v>
      </c>
    </row>
    <row r="12">
      <c r="A12" s="143" t="s">
        <v>250</v>
      </c>
    </row>
    <row r="13">
      <c r="A13" s="144" t="s">
        <v>251</v>
      </c>
      <c r="D13" t="str">
        <f>NUTRIMATIC("""eA* cA*""", 7)</f>
        <v>early career</v>
      </c>
      <c r="E13" t="s">
        <v>252</v>
      </c>
      <c r="F13" t="s">
        <v>253</v>
      </c>
      <c r="G13" t="s">
        <v>254</v>
      </c>
      <c r="H13" t="s">
        <v>255</v>
      </c>
      <c r="I13" t="s">
        <v>256</v>
      </c>
      <c r="J13" t="s">
        <v>257</v>
      </c>
    </row>
    <row r="15">
      <c r="A15" s="143" t="s">
        <v>258</v>
      </c>
    </row>
    <row r="16">
      <c r="A16" s="144" t="s">
        <v>259</v>
      </c>
      <c r="D16" t="str">
        <f>SPLIT_INTO_CELLS("a1b2c3d","")</f>
        <v>a</v>
      </c>
      <c r="E16" t="s">
        <v>260</v>
      </c>
      <c r="F16" t="s">
        <v>233</v>
      </c>
      <c r="G16" t="s">
        <v>261</v>
      </c>
      <c r="H16" t="s">
        <v>235</v>
      </c>
      <c r="I16" t="s">
        <v>262</v>
      </c>
      <c r="J16" t="s">
        <v>234</v>
      </c>
    </row>
    <row r="18">
      <c r="A18" s="143" t="s">
        <v>263</v>
      </c>
      <c r="E18" s="144" t="s">
        <v>264</v>
      </c>
    </row>
    <row r="19">
      <c r="A19" s="144" t="s">
        <v>265</v>
      </c>
      <c r="D19" t="str">
        <f>INDEX_IN_ALPHABET(3)</f>
        <v>C</v>
      </c>
    </row>
    <row r="21">
      <c r="A21" s="143" t="s">
        <v>266</v>
      </c>
      <c r="E21" s="144" t="s">
        <v>267</v>
      </c>
    </row>
    <row r="22">
      <c r="A22" s="144" t="s">
        <v>268</v>
      </c>
      <c r="D22" t="str">
        <f>INDEX_IN_STRING("qwertyuiop",7)</f>
        <v>u</v>
      </c>
    </row>
    <row r="24">
      <c r="A24" s="143" t="s">
        <v>269</v>
      </c>
    </row>
    <row r="25">
      <c r="A25" s="144" t="s">
        <v>270</v>
      </c>
      <c r="E25" s="144" t="str">
        <f>ANSWERIZE("aNsWeR..F?SD9 from __ The Answer")</f>
        <v>ANSWERFSD9FROM__THEANSWER</v>
      </c>
    </row>
    <row r="27">
      <c r="A27" s="143" t="s">
        <v>271</v>
      </c>
      <c r="H27" s="143" t="s">
        <v>272</v>
      </c>
    </row>
    <row r="28">
      <c r="A28" s="144" t="s">
        <v>273</v>
      </c>
      <c r="E28" t="str">
        <f>BINARY_TO_NUMBER("1010")</f>
        <v>10</v>
      </c>
    </row>
    <row r="30">
      <c r="A30" s="143" t="s">
        <v>274</v>
      </c>
    </row>
    <row r="31">
      <c r="A31" s="144" t="s">
        <v>275</v>
      </c>
      <c r="D31" t="str">
        <f>TO_MORSE("SOS1234567890"," and ")</f>
        <v>... and --- and ... and .---- and ..--- and ...-- and ....- and ..... and -.... and --... and ---.. and ----. and -----</v>
      </c>
    </row>
    <row r="33">
      <c r="A33" s="143" t="s">
        <v>276</v>
      </c>
    </row>
    <row r="34">
      <c r="A34" s="144" t="s">
        <v>277</v>
      </c>
      <c r="E34" t="str">
        <f>FROM_MORSE("01111 000 111 00011 11100","0","1")</f>
        <v>1 S O 3 8</v>
      </c>
    </row>
    <row r="36">
      <c r="A36" s="143" t="s">
        <v>278</v>
      </c>
    </row>
    <row r="37">
      <c r="A37" s="144" t="s">
        <v>279</v>
      </c>
      <c r="E37" t="str">
        <f>MURDER("Between xi and eta")</f>
        <v>#ERROR!</v>
      </c>
    </row>
    <row r="39">
      <c r="A39" s="143" t="s">
        <v>280</v>
      </c>
    </row>
    <row r="40">
      <c r="A40" s="144" t="s">
        <v>281</v>
      </c>
      <c r="D40">
        <f>CODE("J")-64</f>
        <v>10</v>
      </c>
    </row>
    <row r="41">
      <c r="A41" s="144" t="s">
        <v>282</v>
      </c>
    </row>
    <row r="42">
      <c r="A42" s="144" t="s">
        <v>283</v>
      </c>
    </row>
    <row r="43">
      <c r="A43" t="s">
        <v>284</v>
      </c>
    </row>
    <row r="44">
      <c r="A44" t="s">
        <v>285</v>
      </c>
      <c r="F44" s="144" t="s">
        <v>286</v>
      </c>
    </row>
    <row r="45">
      <c r="A45" t="s">
        <v>287</v>
      </c>
      <c r="F45" s="144" t="s">
        <v>288</v>
      </c>
    </row>
    <row r="46">
      <c r="A46" s="144" t="s">
        <v>289</v>
      </c>
      <c r="F46" t="str">
        <f>IFERROR(__xludf.DUMMYFUNCTION("REGEXEXTRACT(A47,REPT(""(.)"",LEN(A47)))"),"S")</f>
        <v>S</v>
      </c>
      <c r="G46" t="str">
        <f>IFERROR(__xludf.DUMMYFUNCTION("""COMPUTED_VALUE"""),"O")</f>
        <v>O</v>
      </c>
      <c r="H46" t="str">
        <f>IFERROR(__xludf.DUMMYFUNCTION("""COMPUTED_VALUE"""),"R")</f>
        <v>R</v>
      </c>
      <c r="I46" t="str">
        <f>IFERROR(__xludf.DUMMYFUNCTION("""COMPUTED_VALUE"""),"T")</f>
        <v>T</v>
      </c>
      <c r="J46" t="str">
        <f>IFERROR(__xludf.DUMMYFUNCTION("""COMPUTED_VALUE"""),"(")</f>
        <v>(</v>
      </c>
      <c r="K46" t="str">
        <f>IFERROR(__xludf.DUMMYFUNCTION("""COMPUTED_VALUE"""),")")</f>
        <v>)</v>
      </c>
    </row>
    <row r="47">
      <c r="A47" s="144" t="s">
        <v>290</v>
      </c>
    </row>
    <row r="48">
      <c r="A48" s="143" t="s">
        <v>291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2.38"/>
    <col customWidth="1" min="3" max="3" width="50.88"/>
    <col customWidth="1" min="4" max="18" width="2.63"/>
  </cols>
  <sheetData>
    <row r="1">
      <c r="A1" s="146"/>
      <c r="B1" s="1" t="s">
        <v>292</v>
      </c>
      <c r="C1" s="1" t="s">
        <v>293</v>
      </c>
      <c r="D1" s="147"/>
      <c r="E1" s="1" t="s">
        <v>294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46"/>
    </row>
    <row r="2">
      <c r="A2" s="148"/>
      <c r="B2" s="149" t="s">
        <v>295</v>
      </c>
      <c r="C2" s="147" t="s">
        <v>296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</row>
    <row r="3">
      <c r="A3" s="148"/>
      <c r="B3" s="149" t="s">
        <v>297</v>
      </c>
      <c r="C3" s="150" t="s">
        <v>298</v>
      </c>
      <c r="D3" s="150"/>
      <c r="E3" s="151" t="s">
        <v>299</v>
      </c>
      <c r="F3" s="151" t="s">
        <v>300</v>
      </c>
      <c r="G3" s="151" t="s">
        <v>301</v>
      </c>
      <c r="H3" s="151" t="s">
        <v>302</v>
      </c>
      <c r="I3" s="151" t="s">
        <v>303</v>
      </c>
      <c r="J3" s="151" t="s">
        <v>304</v>
      </c>
      <c r="K3" s="147"/>
      <c r="L3" s="151" t="s">
        <v>305</v>
      </c>
      <c r="M3" s="151" t="s">
        <v>306</v>
      </c>
      <c r="N3" s="151" t="s">
        <v>307</v>
      </c>
      <c r="O3" s="147"/>
      <c r="P3" s="151" t="s">
        <v>308</v>
      </c>
      <c r="Q3" s="147"/>
      <c r="R3" s="147"/>
    </row>
    <row r="4">
      <c r="A4" s="147"/>
      <c r="B4" s="147"/>
      <c r="C4" s="147"/>
      <c r="D4" s="147"/>
      <c r="E4" s="151" t="s">
        <v>309</v>
      </c>
      <c r="F4" s="151" t="s">
        <v>310</v>
      </c>
      <c r="G4" s="151" t="s">
        <v>311</v>
      </c>
      <c r="H4" s="151" t="s">
        <v>312</v>
      </c>
      <c r="I4" s="151" t="s">
        <v>313</v>
      </c>
      <c r="J4" s="151" t="s">
        <v>314</v>
      </c>
      <c r="K4" s="147"/>
      <c r="L4" s="151" t="s">
        <v>315</v>
      </c>
      <c r="M4" s="151" t="s">
        <v>316</v>
      </c>
      <c r="N4" s="151" t="s">
        <v>317</v>
      </c>
      <c r="O4" s="147"/>
      <c r="P4" s="151" t="s">
        <v>318</v>
      </c>
      <c r="Q4" s="147"/>
      <c r="R4" s="147"/>
    </row>
    <row r="5">
      <c r="A5" s="152"/>
      <c r="B5" s="153" t="s">
        <v>319</v>
      </c>
      <c r="C5" s="147" t="s">
        <v>320</v>
      </c>
      <c r="D5" s="147"/>
      <c r="E5" s="147"/>
      <c r="F5" s="147"/>
      <c r="G5" s="147"/>
      <c r="H5" s="147"/>
      <c r="I5" s="147"/>
      <c r="J5" s="147"/>
      <c r="K5" s="147"/>
      <c r="L5" s="151" t="s">
        <v>321</v>
      </c>
      <c r="M5" s="151" t="s">
        <v>322</v>
      </c>
      <c r="N5" s="151" t="s">
        <v>323</v>
      </c>
      <c r="O5" s="147"/>
      <c r="P5" s="151" t="s">
        <v>324</v>
      </c>
      <c r="Q5" s="147"/>
      <c r="R5" s="147"/>
    </row>
    <row r="6">
      <c r="A6" s="152"/>
      <c r="B6" s="153" t="s">
        <v>325</v>
      </c>
      <c r="C6" s="147" t="s">
        <v>326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</row>
    <row r="7">
      <c r="A7" s="152"/>
      <c r="B7" s="153" t="s">
        <v>327</v>
      </c>
      <c r="C7" s="147" t="s">
        <v>328</v>
      </c>
      <c r="D7" s="147"/>
      <c r="E7" s="151" t="s">
        <v>329</v>
      </c>
      <c r="F7" s="151" t="s">
        <v>330</v>
      </c>
      <c r="G7" s="151" t="s">
        <v>331</v>
      </c>
      <c r="H7" s="151" t="s">
        <v>332</v>
      </c>
      <c r="I7" s="151" t="s">
        <v>333</v>
      </c>
      <c r="J7" s="151" t="s">
        <v>334</v>
      </c>
      <c r="K7" s="151" t="s">
        <v>335</v>
      </c>
      <c r="L7" s="151" t="s">
        <v>336</v>
      </c>
      <c r="M7" s="151" t="s">
        <v>337</v>
      </c>
      <c r="N7" s="151" t="s">
        <v>338</v>
      </c>
      <c r="O7" s="151" t="s">
        <v>339</v>
      </c>
      <c r="P7" s="151" t="s">
        <v>340</v>
      </c>
      <c r="Q7" s="151" t="s">
        <v>341</v>
      </c>
      <c r="R7" s="151"/>
    </row>
    <row r="8">
      <c r="A8" s="152"/>
      <c r="B8" s="153" t="s">
        <v>342</v>
      </c>
      <c r="C8" s="147" t="s">
        <v>343</v>
      </c>
      <c r="D8" s="147"/>
      <c r="E8" s="151" t="s">
        <v>344</v>
      </c>
      <c r="F8" s="151" t="s">
        <v>345</v>
      </c>
      <c r="G8" s="151" t="s">
        <v>346</v>
      </c>
      <c r="H8" s="151" t="s">
        <v>347</v>
      </c>
      <c r="I8" s="151" t="s">
        <v>348</v>
      </c>
      <c r="J8" s="151" t="s">
        <v>349</v>
      </c>
      <c r="K8" s="151" t="s">
        <v>350</v>
      </c>
      <c r="L8" s="151" t="s">
        <v>351</v>
      </c>
      <c r="M8" s="151" t="s">
        <v>352</v>
      </c>
      <c r="N8" s="151" t="s">
        <v>353</v>
      </c>
      <c r="O8" s="151" t="s">
        <v>354</v>
      </c>
      <c r="P8" s="151" t="s">
        <v>355</v>
      </c>
      <c r="Q8" s="151" t="s">
        <v>356</v>
      </c>
      <c r="R8" s="151"/>
    </row>
    <row r="9">
      <c r="A9" s="147"/>
      <c r="B9" s="147"/>
      <c r="C9" s="147"/>
      <c r="D9" s="147"/>
      <c r="E9" s="147"/>
      <c r="F9" s="151" t="s">
        <v>357</v>
      </c>
      <c r="G9" s="151" t="s">
        <v>358</v>
      </c>
      <c r="H9" s="151" t="s">
        <v>359</v>
      </c>
      <c r="I9" s="151" t="s">
        <v>360</v>
      </c>
      <c r="J9" s="151" t="s">
        <v>361</v>
      </c>
      <c r="K9" s="151" t="s">
        <v>362</v>
      </c>
      <c r="L9" s="151" t="s">
        <v>363</v>
      </c>
      <c r="M9" s="151" t="s">
        <v>364</v>
      </c>
      <c r="N9" s="151" t="s">
        <v>365</v>
      </c>
      <c r="O9" s="151" t="s">
        <v>366</v>
      </c>
      <c r="P9" s="151" t="s">
        <v>367</v>
      </c>
      <c r="Q9" s="147"/>
      <c r="R9" s="147"/>
    </row>
    <row r="10">
      <c r="A10" s="154"/>
      <c r="B10" s="155" t="s">
        <v>368</v>
      </c>
      <c r="C10" s="150" t="s">
        <v>369</v>
      </c>
      <c r="D10" s="150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</row>
    <row r="11">
      <c r="A11" s="152"/>
      <c r="B11" s="153" t="s">
        <v>370</v>
      </c>
      <c r="C11" s="147" t="s">
        <v>371</v>
      </c>
      <c r="D11" s="147"/>
      <c r="E11" s="151" t="s">
        <v>372</v>
      </c>
      <c r="F11" s="151" t="s">
        <v>373</v>
      </c>
      <c r="G11" s="151" t="s">
        <v>374</v>
      </c>
      <c r="H11" s="147"/>
      <c r="I11" s="151" t="s">
        <v>375</v>
      </c>
      <c r="J11" s="151" t="s">
        <v>376</v>
      </c>
      <c r="K11" s="147"/>
      <c r="L11" s="151" t="s">
        <v>377</v>
      </c>
      <c r="M11" s="147"/>
      <c r="N11" s="151" t="s">
        <v>378</v>
      </c>
      <c r="O11" s="151" t="s">
        <v>379</v>
      </c>
      <c r="P11" s="151" t="s">
        <v>380</v>
      </c>
      <c r="Q11" s="151" t="s">
        <v>381</v>
      </c>
      <c r="R11" s="151"/>
    </row>
    <row r="12">
      <c r="A12" s="152"/>
      <c r="B12" s="153" t="s">
        <v>382</v>
      </c>
      <c r="C12" s="147" t="s">
        <v>383</v>
      </c>
      <c r="D12" s="147"/>
      <c r="E12" s="151" t="s">
        <v>384</v>
      </c>
      <c r="F12" s="151" t="s">
        <v>385</v>
      </c>
      <c r="G12" s="151" t="s">
        <v>386</v>
      </c>
      <c r="H12" s="147"/>
      <c r="I12" s="151" t="s">
        <v>387</v>
      </c>
      <c r="J12" s="151" t="s">
        <v>388</v>
      </c>
      <c r="K12" s="147"/>
      <c r="L12" s="151" t="s">
        <v>389</v>
      </c>
      <c r="M12" s="147"/>
      <c r="N12" s="151" t="s">
        <v>390</v>
      </c>
      <c r="O12" s="151" t="s">
        <v>391</v>
      </c>
      <c r="P12" s="151" t="s">
        <v>392</v>
      </c>
      <c r="Q12" s="151" t="s">
        <v>393</v>
      </c>
      <c r="R12" s="151"/>
    </row>
    <row r="13">
      <c r="A13" s="156"/>
      <c r="B13" s="157" t="s">
        <v>394</v>
      </c>
      <c r="C13" s="150" t="s">
        <v>395</v>
      </c>
      <c r="D13" s="150"/>
      <c r="E13" s="151" t="s">
        <v>396</v>
      </c>
      <c r="F13" s="151" t="s">
        <v>397</v>
      </c>
      <c r="G13" s="151" t="s">
        <v>398</v>
      </c>
      <c r="H13" s="147"/>
      <c r="I13" s="151" t="s">
        <v>399</v>
      </c>
      <c r="J13" s="151" t="s">
        <v>400</v>
      </c>
      <c r="K13" s="147"/>
      <c r="L13" s="147"/>
      <c r="M13" s="147"/>
      <c r="N13" s="147"/>
      <c r="O13" s="147"/>
      <c r="P13" s="147"/>
      <c r="Q13" s="147"/>
      <c r="R13" s="147"/>
    </row>
    <row r="14">
      <c r="A14" s="152"/>
      <c r="B14" s="153" t="s">
        <v>401</v>
      </c>
      <c r="C14" s="147" t="s">
        <v>402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</row>
    <row r="15">
      <c r="A15" s="158"/>
      <c r="B15" s="159" t="s">
        <v>403</v>
      </c>
      <c r="C15" s="147" t="s">
        <v>404</v>
      </c>
      <c r="D15" s="147"/>
      <c r="E15" s="151" t="s">
        <v>405</v>
      </c>
      <c r="F15" s="151" t="s">
        <v>406</v>
      </c>
      <c r="G15" s="151" t="s">
        <v>407</v>
      </c>
      <c r="H15" s="151" t="s">
        <v>408</v>
      </c>
      <c r="I15" s="160"/>
      <c r="J15" s="160"/>
      <c r="K15" s="160"/>
      <c r="L15" s="160"/>
      <c r="M15" s="160"/>
      <c r="N15" s="147"/>
      <c r="O15" s="147"/>
      <c r="P15" s="147"/>
      <c r="Q15" s="147"/>
      <c r="R15" s="147"/>
    </row>
    <row r="16">
      <c r="E16" s="151" t="s">
        <v>409</v>
      </c>
      <c r="F16" s="161" t="s">
        <v>410</v>
      </c>
      <c r="G16" s="160"/>
      <c r="H16" s="160"/>
      <c r="I16" s="160"/>
      <c r="J16" s="160"/>
      <c r="K16" s="160"/>
      <c r="L16" s="160"/>
      <c r="M16" s="160"/>
      <c r="N16" s="147"/>
      <c r="O16" s="147"/>
      <c r="P16" s="147"/>
      <c r="Q16" s="147"/>
      <c r="R16" s="147"/>
    </row>
    <row r="17">
      <c r="A17" s="146"/>
      <c r="B17" s="1" t="s">
        <v>411</v>
      </c>
    </row>
    <row r="18">
      <c r="A18" s="147"/>
      <c r="B18" s="147" t="s">
        <v>412</v>
      </c>
      <c r="E18" s="1" t="s">
        <v>413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46"/>
    </row>
    <row r="19">
      <c r="A19" s="147"/>
      <c r="B19" s="147" t="s">
        <v>414</v>
      </c>
      <c r="E19" s="147" t="s">
        <v>415</v>
      </c>
    </row>
    <row r="20">
      <c r="E20" s="147" t="s">
        <v>416</v>
      </c>
    </row>
    <row r="21">
      <c r="E21" s="147" t="s">
        <v>417</v>
      </c>
    </row>
    <row r="22">
      <c r="E22" s="147">
        <v>1.0</v>
      </c>
      <c r="F22" s="147" t="s">
        <v>418</v>
      </c>
    </row>
    <row r="23">
      <c r="E23" s="147">
        <v>2.0</v>
      </c>
      <c r="F23" s="147" t="s">
        <v>419</v>
      </c>
      <c r="N23" s="147">
        <v>1.0</v>
      </c>
    </row>
    <row r="24">
      <c r="E24" s="147">
        <v>3.0</v>
      </c>
      <c r="F24" s="147" t="s">
        <v>420</v>
      </c>
      <c r="M24" s="147">
        <v>4.0</v>
      </c>
      <c r="N24" s="162">
        <v>7.0</v>
      </c>
      <c r="O24" s="147">
        <v>2.0</v>
      </c>
    </row>
    <row r="25">
      <c r="E25" s="147">
        <v>4.0</v>
      </c>
      <c r="F25" s="147" t="s">
        <v>421</v>
      </c>
      <c r="N25" s="147">
        <v>3.0</v>
      </c>
    </row>
    <row r="26">
      <c r="E26" s="147">
        <v>5.0</v>
      </c>
      <c r="F26" s="147" t="s">
        <v>422</v>
      </c>
    </row>
    <row r="27">
      <c r="E27" s="147">
        <v>6.0</v>
      </c>
      <c r="F27" s="147" t="s">
        <v>423</v>
      </c>
    </row>
    <row r="28">
      <c r="E28" s="147">
        <v>7.0</v>
      </c>
      <c r="F28" s="147" t="s">
        <v>424</v>
      </c>
    </row>
    <row r="29"/>
    <row r="30">
      <c r="E30" s="160" t="s">
        <v>425</v>
      </c>
    </row>
    <row r="31">
      <c r="E31" s="160" t="s">
        <v>426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location="gid=320864130" ref="B2"/>
    <hyperlink r:id="rId2" location="gid=595413584" ref="B3"/>
    <hyperlink r:id="rId3" ref="B5"/>
    <hyperlink r:id="rId4" ref="B6"/>
    <hyperlink r:id="rId5" ref="B7"/>
    <hyperlink r:id="rId6" ref="B8"/>
    <hyperlink r:id="rId7" ref="B10"/>
    <hyperlink r:id="rId8" ref="B11"/>
    <hyperlink r:id="rId9" ref="B12"/>
    <hyperlink r:id="rId10" ref="B13"/>
    <hyperlink r:id="rId11" ref="B14"/>
    <hyperlink r:id="rId12" ref="B15"/>
  </hyperlinks>
  <drawing r:id="rId13"/>
</worksheet>
</file>