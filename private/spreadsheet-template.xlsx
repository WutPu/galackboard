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NDARD" sheetId="1" r:id="rId4"/>
    <sheet state="visible" name="GRID" sheetId="2" r:id="rId5"/>
    <sheet state="visible" name="HEX GRID" sheetId="3" r:id="rId6"/>
    <sheet state="visible" name="HANDOVER" sheetId="4" r:id="rId7"/>
    <sheet state="visible" name="TOOLS" sheetId="5" r:id="rId8"/>
    <sheet state="visible" name="Named Function Reference" sheetId="6" r:id="rId9"/>
    <sheet state="visible" name="Clue formatter Demo" sheetId="7" r:id="rId10"/>
  </sheets>
  <definedNames>
    <definedName name="REGEXFILTER">LAMBDA(range, regex, FILTER(range,ARRAYFORMULA(REGEXMATCH(range,regex))))</definedName>
    <definedName name="COMPONENT_COUNT_FROM_LIST">LAMBDA(targets, width, sofar, IF(COUNTA(TARGETS)=0,SOFAR,COMPONENT_COUNT_FROM_LIST(IFERROR(FILTER(TARGETS,COUNTIF(GROW_COMPONENT(TARGETS,MIN(TARGETS),WIDTH),TARGETS)=0)),WIDTH,SOFAR+1)))</definedName>
    <definedName name="SUCC_BIGINT">LAMBDA(cell, IF(cell="","1",IF(RIGHT(cell,1)="9",SUCC_BIGINT(LEFT_ALL_BUT(cell,1))&amp;"0",LEFT_ALL_BUT(cell,1)&amp;(RIGHT(cell,1)+1))))</definedName>
    <definedName name="SPLIT_INTO_CELLS">LAMBDA(cell, if(len(CELL)=0,"",TRANSPOSE(ARRAYFORMULA(MID(cell,SEQUENCE(LEN(cell)),1)))))</definedName>
    <definedName name="SHARPEN">LAMBDA(range, columns, MAKEARRAY(CEILING(ROWS(FLATTEN(RANGE))/COLUMNS),COLUMNS,LAMBDA(R,C,IFERROR(INDEX(FLATTEN(RANGE),(R-1)*COLUMNS+C),""))))</definedName>
    <definedName name="ANS">LAMBDA(cell, ARRAYFORMULA(REGEXREPLACE(UPPER(cell),"[^A-Z0-9]+","")))</definedName>
    <definedName name="EVAL">LAMBDA(cell, query(,"Select "&amp;cell&amp;" label "&amp;cell&amp;" ''",0))</definedName>
    <definedName name="Q">LAMBDA(range, NUTRIQUERY(WOFA(range)))</definedName>
    <definedName name="QUOTE">LAMBDA(cell, CHAR(34)&amp;cell&amp;CHAR(34))</definedName>
    <definedName name="I">LAMBDA(cell, number, ARRAYFORMULA(if(NUMBER="","",if(len(ANSWERIZE(CELL))&lt;NUMBER,"_",mid(ANSWERIZE(CELL),NUMBER,1)))))</definedName>
    <definedName name="COMPONENT_COUNT">LAMBDA(grid, letter, IF(COUNTIF(GRID,LETTER)=0,0,COMPONENT_COUNT_FROM_LIST(FILTER(SEQUENCE(ROWS(GRID)*COLUMNS(GRID))+COLUMNS(GRID),FLATTEN(GRID)=LETTER),COLUMNS(GRID),0)))</definedName>
    <definedName name="SPLIT_INTO_CHUNKS">LAMBDA(cell, chunk_size, if(len(CELL)=0,"",TRANSPOSE(ARRAYFORMULA(MID(cell,SEQUENCE(CEILING(LEN(cell)/chunk_size),1,1,chunk_size),chunk_size
)))))</definedName>
    <definedName name="AZLEN">LAMBDA(cell, LEN(REGEXREPLACE(cell,"[^A-Za-z]+","")))</definedName>
    <definedName name="CYCLIC_ORDER">LAMBDA(range, from, to, IF(ISERROR(FILTER(FILTER(FROM,FROM&lt;&gt;""),COUNTIF(FILTER(TO,FROM&lt;&gt;""),FILTER(FROM,FROM&lt;&gt;""))=0)),PIECES(FILTER(RANGE,FROM&lt;&gt;""),FILTER(FROM,FROM&lt;&gt;""),FILTER(TO,FROM&lt;&gt;""),INDEX(FILTER(FROM,FROM&lt;&gt;""),1),ROWS(FILTER(FROM,FROM&lt;&gt;""))),PIECES(FILTER(RANGE,FROM&lt;&gt;""),FILTER(FROM,FROM&lt;&gt;""),FILTER(TO,FROM&lt;&gt;""),FILTER(FILTER(FROM,FROM&lt;&gt;""),COUNTIF(FILTER(TO,FROM&lt;&gt;""),FILTER(FROM,FROM&lt;&gt;""))=0),ROWS(FILTER(FROM,FROM&lt;&gt;"")))))</definedName>
    <definedName name="CYCLE_STRING">LAMBDA(cell, number, MID(CELL&amp;CELL,MOD(NUMBER,LEN(CELL))+1,LEN(CELL)))</definedName>
    <definedName name="PERIODIC_TABLE">LAMBDA({"H","","","","","","","","","","","","","","","","","He";"Li","Be","","","","","","","","","","","B","C","N","O","F","Ne";"Na","Mg","","","","","","","","","","","Al","Si","P","S","Cl","Ar";"K","Ca","Sc","Ti","V","Cr","Mn","Fe","Co","Ni","Cu","Zn","Ga","Ge","As","Se","Br","Kr";"Rb","Sr","Y","Zr","Nb","Mo","Tc","Ru","Rh","Pd","Ag","Cd","In","Sn","Sb","Te","I","Xe";"Cs","Ba","La","Hf","Ta","W","Re","Os","Ir","Pt","Au","Hg","Tl","Pb","Bi","Po","At","Rn";"Fr","Ra","Ac","Rf","Db","Sg","Bh","Hs","Mt","Ds","Rg","Cn","Nh","Fl","Mc","Lv","Ts","Og";"","","","","","","","","","","","","","","","","","";"","","Ce","Pr","Nd","Pm","Sm","Eu","Gd","Tb","Dy","Ho","Er","Tm","Yb","Lu","","";"","","Th","Pa","U","Np","Pu","Am","Cm","Bk","Cf","Es","Fm","Md","No","Lr","",""})</definedName>
    <definedName name="ALPHABET">LAMBDA(ARRAYFORMULA(CHAR(64+SEQUENCE(26))))</definedName>
    <definedName name="INDEX_INTO_SENTENCE">LAMBDA(cell, number, IFERROR(index(split(cell," "),number),""))</definedName>
    <definedName name="MORSE_COUNT">LAMBDA(length, dots, dashes, CONCATENATE(FILTER(ALPHABET(),REGEXMATCH({"x211";"x431";"x422";"x321";"x110";"x431";"x312";"x440";"x220";"x413";"x312";"x431";"x202";"x211";"x303";"x422";"x413";"x321";"x330";"x101";"x321";"x431";"x312";"x422";"x413";"x422"},"x["&amp;SUBSTITUTE(REGEXREPLACE(length&amp;"","[^-0-4]",""),"-1","12340")&amp;"]["&amp;SUBSTITUTE(REGEXREPLACE(dots&amp;"","[^-0-4]",""),"-1","1234")&amp;"]["&amp;SUBSTITUTE(REGEXREPLACE(dashes&amp;"","[^-0-4]",""),"-1","12340")&amp;"]")
)))</definedName>
    <definedName name="WOF">LAMBDA(range, CONCATENATE(ARRAYFORMULA(IF(RANGE="","_",IF(LEN(RANGE)=1,LOWER(RANGE),"["&amp;LOWER(RANGE)&amp;"]")))))</definedName>
    <definedName name="ALTERNATING_LETTERS">LAMBDA(text, start, skip, CONCATENATE(ARRAYFORMULA(FILTER(MID(REGEXREPLACE(UPPER(TEXT),"[^A-Z]",""),SEQUENCE(LEN(REGEXREPLACE(UPPER(TEXT),"[^A-Z]",""))),1),MOD(SEQUENCE(LEN(REGEXREPLACE(UPPER(TEXT),"[^A-Z]",""))),SKIP)=MOD(START,SKIP),SEQUENCE(LEN(REGEXREPLACE(UPPER(TEXT),"[^A-Z]","")))&gt;=START
))))</definedName>
    <definedName name="DIAGONAL_LETTERS">LAMBDA(cell_range, CONCATENATE(ARRAYFORMULA(INDEX_INTO(CELL_RANGE,SEQUENCE(ROWs(CELL_RANGE))))))</definedName>
    <definedName name="CROSSWORD_LIST">LAMBDA(range, TRANSPOSE(SPLIT(REGEXREPLACE(REGEXREPLACE(UPPER(CONCATENATE("_",ARRAYFORMULA(IF(FLATTEN({RANGE,REPT("_",SEQUENCE(ROWS(RANGE)))})="","_",FLATTEN({RANGE,REPT("_",SEQUENCE(ROWS(RANGE)))}))),ARRAYFORMULA(IF(FLATTEN({TRANSPOSE(RANGE),REPT("_",SEQUENCE(COLUMNS(RANGE)))})="","_",FLATTEN({TRANSPOSE(RANGE),REPT("_",SEQUENCE(COLUMNS(RANGE)))}))))),"[^A-Z0-9]","_"),"_(._)*","_"),"_")))</definedName>
    <definedName name="ISPRIME">LAMBDA(cell, let(n, cell, t,true,f,false,ifs(or(not(isnumber(n)),isdate(n)),iferror(ø),or(n=2,n=3,n=5,n=7),t,or(n&lt;=1,int(n)&lt;&gt;n),f,or(mod(n,2)=0,mod(n,3)=0,mod(n,5)=0),f,t,reduce(t,sequence(sqrt(n)/6+1,1,5,6),lambda(r,d,ifs(r=f,f,or(mod(n,d)=0,mod(n,d+2)=0),f,t,t))))))</definedName>
    <definedName name="AMBIG_AMINO">LAMBDA(input, ARRAYFORMULA(LETTER_BANK(QUERY(ARRAYFORMULA(IF(REGEXMATCH({"AAA";"AAC";"AAG";"AAT";"ACA";"ACC";"ACG";"ACT";"AGA";"AGC";"AGG";"AGT";"ATA";"ATC";"ATG";"ATT";"CAA";"CAC";"CAG";"CAT";"CCA";"CCC";"CCG";"CCT";"CGA";"CGC";"CGG";"CGT";"CTA";"CTC";"CTG";"CTT";"GAA";"GAC";"GAG";"GAT";"GCA";"GCC";"GCG";"GCT";"GGA";"GGC";"GGG";"GGT";"GTA";"GTC";"GTG";"GTT";"TAA";"TAC";"TAG";"TAT";"TCA";"TCC";"TCG";"TCT";"TGA";"TGC";"TGG";"TGT";"TTA";"TTC";"TTG";"TTT"},"^"&amp;SPLIT(REGEXREPLACE(SUB_CIPHER_ARR(CONCATENATE(input),SPLIT_INTO_CELLS("ACGTUWSMKRYBDHVN?"),SPLIT("A,C,G,T,[T],[AT],[CG],[AC],[GT],[AG],[CT],[CGT],[AGT],[ACT],[ACG],[ACGT],[ACGT]",",")),"((\[[ACTG]*\]|[ACTG]){3})","$1~"),"~")&amp;"$"),{"K";"N";"K";"N";"T";"T";"T";"T";"R";"S";"R";"S";"I";"I";"M";"I";"Q";"H";"Q";"H";"P";"P";"P";"P";"R";"R";"R";"R";"L";"L";"L";"L";"E";"D";"E";"D";"A";"A";"A";"A";"G";"G";"G";"G";"V";"V";"V";"V";"Z";"Y";"Z";"Y";"S";"S";"S";"S";"Z";"C";"W";"C";"L";"F";"L";"F"},"")),,50000))))</definedName>
    <definedName name="TRIM_SPLIT">LAMBDA(text, delimiter, ARRAYFORMULA(TRIM(SPLIT(text,delimiter))))</definedName>
    <definedName name="POKEDEX">LAMBDA({1,"Bulbasaur";2,"Ivysaur";3,"Venusaur";4,"Charmander";5,"Charmeleon";6,"Charizard";7,"Squirtle";8,"Wartortle";9,"Blastoise";10,"Caterpie";11,"Metapod";12,"Butterfree";13,"Weedle";14,"Kakuna";15,"Beedrill";16,"Pidgey";17,"Pidgeotto";18,"Pidgeot";19,"Rattata";20,"Raticate";21,"Spearow";22,"Fearow";23,"Ekans";24,"Arbok";25,"Pikachu";26,"Raichu";27,"Sandshrew";28,"Sandslash";29,"Nidoran♀";30,"Nidorina";31,"Nidoqueen";32,"Nidoran♂";33,"Nidorino";34,"Nidoking";35,"Clefairy";36,"Clefable";37,"Vulpix";38,"Ninetales";39,"Jigglypuff";40,"Wigglytuff";41,"Zubat";42,"Golbat";43,"Oddish";44,"Gloom";45,"Vileplume";46,"Paras";47,"Parasect";48,"Venonat";49,"Venomoth";50,"Diglett";51,"Dugtrio";52,"Meowth";53,"Persian";54,"Psyduck";55,"Golduck";56,"Mankey";57,"Primeape";58,"Growlithe";59,"Arcanine";60,"Poliwag";61,"Poliwhirl";62,"Poliwrath";63,"Abra";64,"Kadabra";65,"Alakazam";66,"Machop";67,"Machoke";68,"Machamp";69,"Bellsprout";70,"Weepinbell";71,"Victreebel";72,"Tentacool";73,"Tentacruel";74,"Geodude";75,"Graveler";76,"Golem";77,"Ponyta";78,"Rapidash";79,"Slowpoke";80,"Slowbro";81,"Magnemite";82,"Magneton";83,"Farfetch'd";84,"Doduo";85,"Dodrio";86,"Seel";87,"Dewgong";88,"Grimer";89,"Muk";90,"Shellder";91,"Cloyster";92,"Gastly";93,"Haunter";94,"Gengar";95,"Onix";96,"Drowzee";97,"Hypno";98,"Krabby";99,"Kingler";100,"Voltorb";101,"Electrode";102,"Exeggcute";103,"Exeggutor";104,"Cubone";105,"Marowak";106,"Hitmonlee";107,"Hitmonchan";108,"Lickitung";109,"Koffing";110,"Weezing";111,"Rhyhorn";112,"Rhydon";113,"Chansey";114,"Tangela";115,"Kangaskhan";116,"Horsea";117,"Seadra";118,"Goldeen";119,"Seaking";120,"Staryu";121,"Starmie";122,"Mr. Mime";123,"Scyther";124,"Jynx";125,"Electabuzz";126,"Magmar";127,"Pinsir";128,"Tauros";129,"Magikarp";130,"Gyarados";131,"Lapras";132,"Ditto";133,"Eevee";134,"Vaporeon";135,"Jolteon";136,"Flareon";137,"Porygon";138,"Omanyte";139,"Omastar";140,"Kabuto";141,"Kabutops";142,"Aerodactyl";143,"Snorlax";144,"Articuno";145,"Zapdos";146,"Moltres";147,"Dratini";148,"Dragonair";149,"Dragonite";150,"Mewtwo";151,"Mew";152,"Chikorita";153,"Bayleef";154,"Meganium";155,"Cyndaquil";156,"Quilava";157,"Typhlosion";158,"Totodile";159,"Croconaw";160,"Feraligatr";161,"Sentret";162,"Furret";163,"Hoothoot";164,"Noctowl";165,"Ledyba";166,"Ledian";167,"Spinarak";168,"Ariados";169,"Crobat";170,"Chinchou";171,"Lanturn";172,"Pichu";173,"Cleffa";174,"Igglybuff";175,"Togepi";176,"Togetic";177,"Natu";178,"Xatu";179,"Mareep";180,"Flaaffy";181,"Ampharos";182,"Bellossom";183,"Marill";184,"Azumarill";185,"Sudowoodo";186,"Politoed";187,"Hoppip";188,"Skiploom";189,"Jumpluff";190,"Aipom";191,"Sunkern";192,"Sunflora";193,"Yanma";194,"Wooper";195,"Quagsire";196,"Espeon";197,"Umbreon";198,"Murkrow";199,"Slowking";200,"Misdreavus";201,"Unown";202,"Wobbuffet";203,"Girafarig";204,"Pineco";205,"Forretress";206,"Dunsparce";207,"Gligar";208,"Steelix";209,"Snubbull";210,"Granbull";211,"Qwilfish";212,"Scizor";213,"Shuckle";214,"Heracross";215,"Sneasel";216,"Teddiursa";217,"Ursaring";218,"Slugma";219,"Magcargo";220,"Swinub";221,"Piloswine";222,"Corsola";223,"Remoraid";224,"Octillery";225,"Delibird";226,"Mantine";227,"Skarmory";228,"Houndour";229,"Houndoom";230,"Kingdra";231,"Phanpy";232,"Donphan";233,"Porygon2";234,"Stantler";235,"Smeargle";236,"Tyrogue";237,"Hitmontop";238,"Smoochum";239,"Elekid";240,"Magby";241,"Miltank";242,"Blissey";243,"Raikou";244,"Entei";245,"Suicune";246,"Larvitar";247,"Pupitar";248,"Tyranitar";249,"Lugia";250,"Ho-Oh";251,"Celebi";252,"Treecko";253,"Grovyle";254,"Sceptile";255,"Torchic";256,"Combusken";257,"Blaziken";258,"Mudkip";259,"Marshtomp";260,"Swampert";261,"Poochyena";262,"Mightyena";263,"Zigzagoon";264,"Linoone";265,"Wurmple";266,"Silcoon";267,"Beautifly";268,"Cascoon";269,"Dustox";270,"Lotad";271,"Lombre";272,"Ludicolo";273,"Seedot";274,"Nuzleaf";275,"Shiftry";276,"Taillow";277,"Swellow";278,"Wingull";279,"Pelipper";280,"Ralts";281,"Kirlia";282,"Gardevoir";283,"Surskit";284,"Masquerain";285,"Shroomish";286,"Breloom";287,"Slakoth";288,"Vigoroth";289,"Slaking";290,"Nincada";291,"Ninjask";292,"Shedinja";293,"Whismur";294,"Loudred";295,"Exploud";296,"Makuhita";297,"Hariyama";298,"Azurill";299,"Nosepass";300,"Skitty";301,"Delcatty";302,"Sableye";303,"Mawile";304,"Aron";305,"Lairon";306,"Aggron";307,"Meditite";308,"Medicham";309,"Electrike";310,"Manectric";311,"Plusle";312,"Minun";313,"Volbeat";314,"Illumise";315,"Roselia";316,"Gulpin";317,"Swalot";318,"Carvanha";319,"Sharpedo";320,"Wailmer";321,"Wailord";322,"Numel";323,"Camerupt";324,"Torkoal";325,"Spoink";326,"Grumpig";327,"Spinda";328,"Trapinch";329,"Vibrava";330,"Flygon";331,"Cacnea";332,"Cacturne";333,"Swablu";334,"Altaria";335,"Zangoose";336,"Seviper";337,"Lunatone";338,"Solrock";339,"Barboach";340,"Whiscash";341,"Corphish";342,"Crawdaunt";343,"Baltoy";344,"Claydol";345,"Lileep";346,"Cradily";347,"Anorith";348,"Armaldo";349,"Feebas";350,"Milotic";351,"Castform";352,"Kecleon";353,"Shuppet";354,"Banette";355,"Duskull";356,"Dusclops";357,"Tropius";358,"Chimecho";359,"Absol";360,"Wynaut";361,"Snorunt";362,"Glalie";363,"Spheal";364,"Sealeo";365,"Walrein";366,"Clamperl";367,"Huntail";368,"Gorebyss";369,"Relicanth";370,"Luvdisc";371,"Bagon";372,"Shelgon";373,"Salamence";374,"Beldum";375,"Metang";376,"Metagross";377,"Regirock";378,"Regice";379,"Registeel";380,"Latias";381,"Latios";382,"Kyogre";383,"Groudon";384,"Rayquaza";385,"Jirachi";386,"Deoxys";387,"Turtwig";388,"Grotle";389,"Torterra";390,"Chimchar";391,"Monferno";392,"Infernape";393,"Piplup";394,"Prinplup";395,"Empoleon";396,"Starly";397,"Staravia";398,"Staraptor";399,"Bidoof";400,"Bibarel";401,"Kricketot";402,"Kricketune";403,"Shinx";404,"Luxio";405,"Luxray";406,"Budew";407,"Roserade";408,"Cranidos";409,"Rampardos";410,"Shieldon";411,"Bastiodon";412,"Burmy";413,"Wormadam";414,"Mothim";415,"Combee";416,"Vespiquen";417,"Pachirisu";418,"Buizel";419,"Floatzel";420,"Cherubi";421,"Cherrim";422,"Shellos";423,"Gastrodon";424,"Ambipom";425,"Drifloon";426,"Drifblim";427,"Buneary";428,"Lopunny";429,"Mismagius";430,"Honchkrow";431,"Glameow";432,"Purugly";433,"Chingling";434,"Stunky";435,"Skuntank";436,"Bronzor";437,"Bronzong";438,"Bonsly";439,"Mime Jr.";440,"Happiny";441,"Chatot";442,"Spiritomb";443,"Gible";444,"Gabite";445,"Garchomp";446,"Munchlax";447,"Riolu";448,"Lucario";449,"Hippopotas";450,"Hippowdon";451,"Skorupi";452,"Drapion";453,"Croagunk";454,"Toxicroak";455,"Carnivine";456,"Finneon";457,"Lumineon";458,"Mantyke";459,"Snover";460,"Abomasnow";461,"Weavile";462,"Magnezone";463,"Lickilicky";464,"Rhyperior";465,"Tangrowth";466,"Electivire";467,"Magmortar";468,"Togekiss";469,"Yanmega";470,"Leafeon";471,"Glaceon";472,"Gliscor";473,"Mamoswine";474,"Porygon-Z";475,"Gallade";476,"Probopass";477,"Dusknoir";478,"Froslass";479,"Rotom";480,"Uxie";481,"Mesprit";482,"Azelf";483,"Dialga";484,"Palkia";485,"Heatran";486,"Regigigas";487,"Giratina";488,"Cresselia";489,"Phione";490,"Manaphy";491,"Darkrai";492,"Shaymin";493,"Arceus";494,"Victini";495,"Snivy";496,"Servine";497,"Serperior";498,"Tepig";499,"Pignite";500,"Emboar";501,"Oshawott";502,"Dewott";503,"Samurott";504,"Patrat";505,"Watchog";506,"Lillipup";507,"Herdier";508,"Stoutland";509,"Purrloin";510,"Liepard";511,"Pansage";512,"Simisage";513,"Pansear";514,"Simisear";515,"Panpour";516,"Simipour";517,"Munna";518,"Musharna";519,"Pidove";520,"Tranquill";521,"Unfezant";522,"Blitzle";523,"Zebstrika";524,"Roggenrola";525,"Boldore";526,"Gigalith";527,"Woobat";528,"Swoobat";529,"Drilbur";530,"Excadrill";531,"Audino";532,"Timburr";533,"Gurdurr";534,"Conkeldurr";535,"Tympole";536,"Palpitoad";537,"Seismitoad";538,"Throh";539,"Sawk";540,"Sewaddle";541,"Swadloon";542,"Leavanny";543,"Venipede";544,"Whirlipede";545,"Scolipede";546,"Cottonee";547,"Whimsicott";548,"Petilil";549,"Lilligant";550,"Basculin";551,"Sandile";552,"Krokorok";553,"Krookodile";554,"Darumaka";555,"Darmanitan";556,"Maractus";557,"Dwebble";558,"Crustle";559,"Scraggy";560,"Scrafty";561,"Sigilyph";562,"Yamask";563,"Cofagrigus";564,"Tirtouga";565,"Carracosta";566,"Archen";567,"Archeops";568,"Trubbish";569,"Garbodor";570,"Zorua";571,"Zoroark";572,"Minccino";573,"Cinccino";574,"Gothita";575,"Gothorita";576,"Gothitelle";577,"Solosis";578,"Duosion";579,"Reuniclus";580,"Ducklett";581,"Swanna";582,"Vanillite";583,"Vanillish";584,"Vanilluxe";585,"Deerling";586,"Sawsbuck";587,"Emolga";588,"Karrablast";589,"Escavalier";590,"Foongus";591,"Amoonguss";592,"Frillish";593,"Jellicent";594,"Alomomola";595,"Joltik";596,"Galvantula";597,"Ferroseed";598,"Ferrothorn";599,"Klink";600,"Klang";601,"Klinklang";602,"Tynamo";603,"Eelektrik";604,"Eelektross";605,"Elgyem";606,"Beheeyem";607,"Litwick";608,"Lampent";609,"Chandelure";610,"Axew";611,"Fraxure";612,"Haxorus";613,"Cubchoo";614,"Beartic";615,"Cryogonal";616,"Shelmet";617,"Accelgor";618,"Stunfisk";619,"Mienfoo";620,"Mienshao";621,"Druddigon";622,"Golett";623,"Golurk";624,"Pawniard";625,"Bisharp";626,"Bouffalant";627,"Rufflet";628,"Braviary";629,"Vullaby";630,"Mandibuzz";631,"Heatmor";632,"Durant";633,"Deino";634,"Zweilous";635,"Hydreigon";636,"Larvesta";637,"Volcarona";638,"Cobalion";639,"Terrakion";640,"Virizion";641,"Tornadus";642,"Thundurus";643,"Reshiram";644,"Zekrom";645,"Landorus";646,"Kyurem";647,"Keldeo";648,"Meloetta";649,"Genesect";650,"Chespin";651,"Quilladin";652,"Chesnaught";653,"Fennekin";654,"Braixen";655,"Delphox";656,"Froakie";657,"Frogadier";658,"Greninja";659,"Bunnelby";660,"Diggersby";661,"Fletchling";662,"Fletchinder";663,"Talonflame";664,"Scatterbug";665,"Spewpa";666,"Vivillon";667,"Litleo";668,"Pyroar";669,"Flabébé";670,"Floette";671,"Florges";672,"Skiddo";673,"Gogoat";674,"Pancham";675,"Pangoro";676,"Furfrou";677,"Espurr";678,"Meowstic";679,"Honedge";680,"Doublade";681,"Aegislash";682,"Spritzee";683,"Aromatisse";684,"Swirlix";685,"Slurpuff";686,"Inkay";687,"Malamar";688,"Binacle";689,"Barbaracle";690,"Skrelp";691,"Dragalge";692,"Clauncher";693,"Clawitzer";694,"Helioptile";695,"Heliolisk";696,"Tyrunt";697,"Tyrantrum";698,"Amaura";699,"Aurorus";700,"Sylveon";701,"Hawlucha";702,"Dedenne";703,"Carbink";704,"Goomy";705,"Sliggoo";706,"Goodra";707,"Klefki";708,"Phantump";709,"Trevenant";710,"Pumpkaboo";711,"Gourgeist";712,"Bergmite";713,"Avalugg";714,"Noibat";715,"Noivern";716,"Xerneas";717,"Yveltal";718,"Zygarde";719,"Diancie";720,"Hoopa";721,"Volcanion";722,"Rowlet";723,"Dartrix";724,"Decidueye";725,"Litten";726,"Torracat";727,"Incineroar";728,"Popplio";729,"Brionne";730,"Primarina";731,"Pikipek";732,"Trumbeak";733,"Toucannon";734,"Yungoos";735,"Gumshoos";736,"Grubbin";737,"Charjabug";738,"Vikavolt";739,"Crabrawler";740,"Crabominable";741,"Oricorio";742,"Cutiefly";743,"Ribombee";744,"Rockruff";745,"Lycanroc";746,"Wishiwashi";747,"Mareanie";748,"Toxapex";749,"Mudbray";750,"Mudsdale";751,"Dewpider";752,"Araquanid";753,"Fomantis";754,"Lurantis";755,"Morelull";756,"Shiinotic";757,"Salandit";758,"Salazzle";759,"Stufful";760,"Bewear";761,"Bounsweet";762,"Steenee";763,"Tsareena";764,"Comfey";765,"Oranguru";766,"Passimian";767,"Wimpod";768,"Golisopod";769,"Sandygast";770,"Palossand";771,"Pyukumuku";772,"Type: Null";773,"Silvally";774,"Minior";775,"Komala";776,"Turtonator";777,"Togedemaru";778,"Mimikyu";779,"Bruxish";780,"Drampa";781,"Dhelmise";782,"Jangmo-o";783,"Hakamo-o";784,"Kommo-o";785,"Tapu Koko";786,"Tapu Lele";787,"Tapu Bulu";788,"Tapu Fini";789,"Cosmog";790,"Cosmoem";791,"Solgaleo";792,"Lunala";793,"Nihilego";794,"Buzzwole";795,"Pheromosa";796,"Xurkitree";797,"Celesteela";798,"Kartana";799,"Guzzlord";800,"Necrozma";801,"Magearna";802,"Marshadow";803,"Poipole";804,"Naganadel";805,"Stakataka";806,"Blacephalon";807,"Zeraora";808,"Meltan";809,"Melmetal";810,"Grookey";811,"Thwackey";812,"Rillaboom";813,"Scorbunny";814,"Raboot";815,"Cinderace";816,"Sobble";817,"Drizzile";818,"Inteleon";819,"Skwovet";820,"Greedent";821,"Rookidee";822,"Corvisquire";823,"Corviknight";824,"Blipbug";825,"Dottler";826,"Orbeetle";827,"Nickit";828,"Thievul";829,"Gossifleur";830,"Eldegoss";831,"Wooloo";832,"Dubwool";833,"Chewtle";834,"Drednaw";835,"Yamper";836,"Boltund";837,"Rolycoly";838,"Carkol";839,"Coalossal";840,"Applin";841,"Flapple";842,"Appletun";843,"Silicobra";844,"Sandaconda";845,"Cramorant";846,"Arrokuda";847,"Barraskewda";848,"Toxel";849,"Toxtricity";850,"Sizzlipede";851,"Centiskorch";852,"Clobbopus";853,"Grapploct";854,"Sinistea";855,"Polteageist";856,"Hatenna";857,"Hattrem";858,"Hatterene";859,"Impidimp";860,"Morgrem";861,"Grimmsnarl";862,"Obstagoon";863,"Perrserker";864,"Cursola";865,"Sirfetch'd";866,"Mr. Rime";867,"Runerigus";868,"Milcery";869,"Alcremie";870,"Falinks";871,"Pincurchin";872,"Snom";873,"Frosmoth";874,"Stonjourner";875,"Eiscue";876,"Indeedee";877,"Morpeko";878,"Cufant";879,"Copperajah";880,"Dracozolt";881,"Arctozolt";882,"Dracovish";883,"Arctovish";884,"Duraludon";885,"Dreepy";886,"Drakloak";887,"Dragapult";888,"Zacian";889,"Zamazenta";890,"Eternatus";891,"Kubfu";892,"Urshifu";893,"Zarude";894,"Regieleki";895,"Regidrago";896,"Glastrier";897,"Spectrier";898,"Calyrex";899,"Wyrdeer";900,"Kleavor";901,"Ursaluna";902,"Basculegion";903,"Sneasler";904,"Overqwil";905,"Enamorus";906,"Sprigatito";907,"Floragato";908,"Meowscarada";909,"Fuecoco";910,"Crocalor";911,"Skeledirge";912,"Quaxly";913,"Quaxwell";914,"Quaquaval";915,"Lechonk";916,"Oinkologne";917,"Tarountula";918,"Spidops";919,"Nymble";920,"Lokix";921,"Pawmi";922,"Pawmo";923,"Pawmot";924,"Tandemaus";925,"Maushold";926,"Fidough";927,"Dachsbun";928,"Smoliv";929,"Dolliv";930,"Arboliva";931,"Squawkabilly";932,"Nacli";933,"Naclstack";934,"Garganacl";935,"Charcadet";936,"Armarouge";937,"Ceruledge";938,"Tadbulb";939,"Bellibolt";940,"Wattrel";941,"Kilowattrel";942,"Maschiff";943,"Mabosstiff";944,"Shroodle";945,"Grafaiai";946,"Bramblin";947,"Brambleghast";948,"Toedscool";949,"Toedscruel";950,"Klawf";951,"Capsakid";952,"Scovillain";953,"Rellor";954,"Rabsca";955,"Flittle";956,"Espathra";957,"Tinkatink";958,"Tinkatuff";959,"Tinkaton";960,"Wiglett";961,"Wugtrio";962,"Bombirdier";963,"Finizen";964,"Palafin";965,"Varoom";966,"Revavroom";967,"Cyclizar";968,"Orthworm";969,"Glimmet";970,"Glimmora";971,"Greavard";972,"Houndstone";973,"Flamigo";974,"Cetoddle";975,"Cetitan";976,"Veluza";977,"Dondozo";978,"Tatsugiri";979,"Annihilape";980,"Clodsire";981,"Farigiraf";982,"Dudunsparce";983,"Kingambit";984,"Great Tusk";985,"Scream Tail";986,"Brute Bonnet";987,"Flutter Mane";988,"Slither Wing";989,"Sandy Shocks";990,"Iron Treads";991,"Iron Bundle";992,"Iron Hands";993,"Iron Jugulis";994,"Iron Moth";995,"Iron Thorns";996,"Frigibax";997,"Arctibax";998,"Baxcalibur";999,"Gimmighoul";1000,"Gholdengo";1001,"Wo-Chien";1002,"Chien-Pao";1003,"Ting-Lu";1004,"Chi-Yu";1005,"Roaring Moon";1006,"Iron Valiant";1007,"Koraidon";1008,"Miraidon";1009,"Walking Wake";1010,"Iron Leaves";1011,"Dipplin";1012,"Poltchageist";1013,"Sinistcha";1014,"Okidogi";1015,"Munkidori";1016,"Fezandipiti";1017,"Ogerpon";1018,"Archaludon";1019,"Hydrapple";1020,"Gouging Fire";1021,"Raging Bolt";1022,"Iron Boulder";1023,"Iron Crown";1024,"Terapagos";1025,"Pecharunt"})</definedName>
    <definedName name="PAD_RIGHT">LAMBDA(string, character, length, string&amp;REPT(character, length-LEN(string)))</definedName>
    <definedName name="CORNDOG">LAMBDA(range, CONCATENATE(ARRAYFORMULA(IFERROR(IF(range="", "A", LOWER(range)), "A"))))</definedName>
    <definedName name="GROW_COMPONENT">LAMBDA(targets, reached, width, IF(COUNTA(SORT(UNIQUE({REACHED;IFERROR(FILTER({REACHED+WIDTH;REACHED-WIDTH},COUNTIF(TARGETS,{REACHED+WIDTH;REACHED-WIDTH})));IFERROR(FILTER(REACHED+1,COUNTIF(TARGETS,REACHED+1),MOD(REACHED+1,WIDTH)&lt;&gt;1));IFERROR(FILTER(REACHED-1,COUNTIF(TARGETS,REACHED-1),MOD(REACHED-1,WIDTH)&lt;&gt;0))})))&gt;COUNTA(REACHED),GROW_COMPONENT(TARGETS,SORT(UNIQUE({REACHED;IFERROR(FILTER({REACHED+WIDTH;REACHED-WIDTH},COUNTIF(TARGETS,{REACHED+WIDTH;REACHED-WIDTH})));IFERROR(FILTER(REACHED+1,COUNTIF(TARGETS,REACHED+1),MOD(REACHED+1,WIDTH)&lt;&gt;1));IFERROR(FILTER(REACHED-1,COUNTIF(TARGETS,REACHED-1),MOD(REACHED-1,WIDTH)&lt;&gt;0))})),WIDTH),REACHED))</definedName>
    <definedName name="MORSE_FROM">LAMBDA(cell, CONCATENATE(ARRAYFORMULA(IFERROR(VLOOKUP(SPLIT(CELL," "),{".-","A";"-...","B";"-.-.","C";"-..","D";".","E";"..-.","F";"--.","G";"....","H";"..","I";".---","J";"-.-","K";".-..","L";"--","M";"-.","N";"---","O";".--.","P";"--.-","Q";".-.","R";"...","S";"-","T";"..-","U";"...-","V";".--","W";"-..-","X";"-.--","Y";"--..","Z";"/"," ";".----","1";"..---","2";"...--","3";"....-","4";".....","5";"-....","6";"--...","7";"---..","8";"----.","9";"-----","0";".-.-.-",".";"--..--",",";"..--..","?";".----.","'";"-.-.--","!";"-..-.","/";"-.--.","(";"-.--.-",")";".-...","&amp;";"---...",":";"-.-.-.",";";"-...-","=";".-.-.-","+";"-....-","-";"..--.-","_";".-..-.","""";"...-..-","$";".--.-.","@"},2,FALSE)))))</definedName>
    <definedName name="MSET_ISEC">LAMBDA(a, b, CONCATENATE(MAP({SEQUENCE(10,1,0);ALPHABET()}, LAMBDA(x,REPT(x,MIN(COUNT_ONLY(a,x),COUNT_ONLY(b,x)))))))</definedName>
    <definedName name="HFLIP">LAMBDA(array, TR(VFLIP(TR(array))))</definedName>
    <definedName name="BINARY_WOF">LAMBDA(range, IFERROR(CONCATENATE(FILTER(ARRAYFORMULA(CHAR(64+SEQUENCE(26))),REGEXMATCH(TEXT(DEC2BIN(SEQUENCE(26)),"00000"),CONCATENATE(IF(RANGE="",".",RANGE)))))))</definedName>
    <definedName name="COLORHEX">LAMBDA(hex, SPARKLINE({1},{"charttype","bar";"color1","#"&amp;hex}))</definedName>
    <definedName name="ATOMIC_MASS">LAMBDA(formula, EVAL(LET(y,LET(x,REGEXREPLACE(REGEXREPLACE(REGEXREPLACE(REGEXREPLACE(SUB(SUB(formula,"⁄","/"),"+","·")
,"[ +,-]",""),"[·]([0-9./]*)([^0-9./·
][^·]*)","($2)$1"),"([A-Z()])"," $1"),"([0-9]+([\./][0-9]+)?)"," *$1"),SUB(CONCATENATE(ARRAYFORMULA(IFERROR("+"&amp;XLOOKUP(SPLIT(x," "),INDEX(ELEMENT_LIST(),0,2),INDEX(ELEMENT_LIST(),0,4)),SPLIT(x," ")))),"(+","+(")),MID(y,2,LEN(y)))))</definedName>
    <definedName name="ROTATE_CCW">LAMBDA(array, TR(HFLIP(array)))</definedName>
    <definedName name="NGRAMS_ALL">LAMBDA(cell, number, JOIN(" ",TRANSPOSE(ARRAYFORMULA(MID(ANSWERIZE(CELL),SEQUENCE(len(ANSWERIZE(CELL))-NUMBER+1),NUMBER)))))</definedName>
    <definedName name="DNA_COMPLEMENT">LAMBDA(input, SUB_CIPHER(input,"ACGTUWSMKRYBDHVN","TGCAAWSKMYRVHDBN"))</definedName>
    <definedName name="SCRABBLE">LAMBDA(cell, SUM(ARRAYFORMULA(IFNA(VLOOKUP(MID(UPPER(CELL),SEQUENCE(LEN(CELL)),1),{"A", 1; "B", 3; "C", 3; "D", 2; "E", 1; "F", 4; "G", 2; "H", 4; "I", 1; "J", 8; "K", 5; "L", 1; "M", 3; "N", 1; "O", 1; "P", 3; "Q", 10; "R", 1; "S", 1; "T", 1; "U", 1; "V", 4; "W", 4; "X", 8; "Y", 4; "Z", 10},2,FALSE),0))))</definedName>
    <definedName name="MSET_DIFF">LAMBDA(a, b, CONCATENATE(MAP({SEQUENCE(10,1,0);ALPHABET()}, LAMBDA(x,REPT(x,MAX(COUNT_ONLY(a,x)-COUNT_ONLY(b,x),0))))))</definedName>
    <definedName name="PAIRINDEX">LAMBDA(cell, array, JOIN("",LET(x,ARRAYFORMULA(SPLIT(TRANSPOSE(SPLIT(REGEXREPLACE(cell,"[.:]","|")," ")),"|")),ARRAYFORMULA(I(ARRAYFORMULA(VLOOKUP(INDEX(x, 0, 1), {SEQUENCE(ROWS(array)),array}, 2)),INDEX(x, 0, 2))))))</definedName>
    <definedName name="BRAILLE_COUNT">LAMBDA(cell, SUBSTITUTE(
SUBSTITUTE(SUBSTITUTE(SUBSTITUTE(
SUBSTITUTE(REGEXREPLACE(cell&amp;"", "[^12345]", ""), "1", "A"), "2", "BCEIK"), "3", "DFHJLMOSU"), "4", "GNPRTVWXZ"), "5", "QY"))</definedName>
    <definedName name="ELEMENT_LIST">LAMBDA({1,"H","Hydrogen",1.008;2,"He","Helium",4.0026;3,"Li","Lithium",6.94;4,"Be","Beryllium",9.0122;5,"B","Boron",10.81;6,"C","Carbon",12.011;7,"N","Nitrogen",14.007;8,"O","Oxygen",15.999;9,"F","Fluorine",18.998;10,"Ne","Neon",20.18;11,"Na","Sodium",22.99;12,"Mg","Magnesium",24.305;13,"Al","Aluminium",26.982;14,"Si","Silicon",28.085;15,"P","Phosphorus",30.974;16,"S","Sulfur",32.06;17,"Cl","Chlorine",35.45;18,"Ar","Argon",39.95;19,"K","Potassium",39.098;20,"Ca","Calcium",40.078;21,"Sc","Scandium",44.956;22,"Ti","Titanium",47.867;23,"V","Vanadium",50.942;24,"Cr","Chromium",51.996;25,"Mn","Manganese",54.938;26,"Fe","Iron",55.845;27,"Co","Cobalt",58.933;28,"Ni","Nickel",58.693;29,"Cu","Copper",63.546;30,"Zn","Zinc",65.38;31,"Ga","Gallium",69.723;32,"Ge","Germanium",72.63;33,"As","Arsenic",74.922;34,"Se","Selenium",78.971;35,"Br","Bromine",79.904;36,"Kr","Krypton",83.798;37,"Rb","Rubidium",85.468;38,"Sr","Strontium",87.62;39,"Y","Yttrium",88.906;40,"Zr","Zirconium",91.224;41,"Nb","Niobium",92.906;42,"Mo","Molybdenum",95.95;43,"Tc","Technetium",97;44,"Ru","Ruthenium",101.07;45,"Rh","Rhodium",102.91;46,"Pd","Palladium",106.42;47,"Ag","Silver",107.87;48,"Cd","Cadmium",112.41;49,"In","Indium",114.82;50,"Sn","Tin",118.71;51,"Sb","Antimony",121.76;52,"Te","Tellurium",127.6;53,"I","Iodine",126.9;54,"Xe","Xenon",131.29;55,"Cs","Caesium",132.91;56,"Ba","Barium",137.33;57,"La","Lanthanum",138.91;58,"Ce","Cerium",140.12;59,"Pr","Praseodymium",140.91;60,"Nd","Neodymium",144.24;61,"Pm","Promethium",145;62,"Sm","Samarium",150.36;63,"Eu","Europium",151.96;64,"Gd","Gadolinium",157.25;65,"Tb","Terbium",158.93;66,"Dy","Dysprosium",162.5;67,"Ho","Holmium",164.93;68,"Er","Erbium",167.26;69,"Tm","Thulium",168.93;70,"Yb","Ytterbium",173.05;71,"Lu","Lutetium",174.97;72,"Hf","Hafnium",178.49;73,"Ta","Tantalum",180.95;74,"W","Tungsten",183.84;75,"Re","Rhenium",186.21;76,"Os","Osmium",190.23;77,"Ir","Iridium",192.22;78,"Pt","Platinum",195.08;79,"Au","Gold",196.97;80,"Hg","Mercury",200.59;81,"Tl","Thallium",204.38;82,"Pb","Lead",207.2;83,"Bi","Bismuth",208.98;84,"Po","Polonium",209;85,"At","Astatine",210;86,"Rn","Radon",222;87,"Fr","Francium",223;88,"Ra","Radium",226;89,"Ac","Actinium",227;90,"Th","Thorium",232.04;91,"Pa","Protactinium",231.04;92,"U","Uranium",238.03;93,"Np","Neptunium",237;94,"Pu","Plutonium",244;95,"Am","Americium",243;96,"Cm","Curium",247;97,"Bk","Berkelium",247;98,"Cf","Californium",251;99,"Es","Einsteinium",252;100,"Fm","Fermium",257;101,"Md","Mendelevium",258;102,"No","Nobelium",259;103,"Lr","Lawrencium",266;104,"Rf","Rutherfordium",267;105,"Db","Dubnium",268;106,"Sg","Seaborgium",267;107,"Bh","Bohrium",270;108,"Hs","Hassium",271;109,"Mt","Meitnerium",278;110,"Ds","Darmstadtium",281;111,"Rg","Roentgenium",282;112,"Cn","Copernicium",285;113,"Nh","Nihonium",286;114,"Fl","Flerovium",289;115,"Mc","Moscovium",290;116,"Lv","Livermorium",293;117,"Ts","Tennessine",294;118,"Og","Oganesson",294})</definedName>
    <definedName name="COUNTRY_MAP">LAMBDA(country_code, image("https://raw.githubusercontent.com/djaiss/mapsicon/master/all/"&amp;LOWER(country_code)&amp;"/512.png"))</definedName>
    <definedName name="SPLIT_CELLS_VERT">LAMBDA(cell, if(len(CELL)=0,"",ARRAYFORMULA(MID(cell,SEQUENCE(LEN(cell)),1))))</definedName>
    <definedName name="SEMAPHORE_ANGLE">LAMBDA(cell, 
SUBSTITUTE(SUBSTITUTE(SUBSTITUTE(
SUBSTITUTE(REGEXREPLACE(cell&amp;"", "[^1234]", ""), "1", "WZGAHOT"), "2", "JXFNBIPU"), "3", "VEMSCKQY"), "4", "DLR"))</definedName>
    <definedName name="SUB">LAMBDA(text_to_search, search_for, replace_with, SUBSTITUTE(text_to_search, search_for, replace_with))</definedName>
    <definedName name="COUNTRY_FLAG">LAMBDA(country_code, image("https://raw.githubusercontent.com/hampusborgos/country-flags/main/png1000px/"&amp;LOWER(country_code)&amp;".png"))</definedName>
    <definedName name="ATOMIC">LAMBDA(cell, TEXTJOIN(" ",TRUE,ARRAYFORMULA(IFERROR(VLOOKUP(split(CELL," "),{ "H", 1; "He", 2; "Li", 3; "Be", 4; "B", 5; "C", 6; "N", 7; "O", 8; "F", 9; "Ne", 10; "Na", 11; "Mg", 12; "Al", 13; "Si", 14; "P", 15; "S", 16; "Cl", 17; "Ar", 18; "K", 19; "Ca", 20; "Sc", 21; "Ti", 22; "V", 23; "Cr", 24; "Mn", 25; "Fe", 26; "Co", 27; "Ni", 28; "Cu", 29; "Zn", 30; "Ga", 31; "Ge", 32; "As", 33; "Se", 34; "Br", 35; "Kr", 36; "Rb", 37; "Sr", 38; "Y", 39; "Zr", 40; "Nb", 41; "Mo", 42; "Tc", 43; "Ru", 44; "Rh", 45; "Pd", 46; "Ag", 47; "Cd", 48; "In", 49; "Sn", 50; "Sb", 51; "Te", 52; "I", 53; "Xe", 54; "Cs", 55; "Ba", 56; "La", 57; "Ce", 58; "Pr", 59; "Nd", 60; "Pm", 61; "Sm", 62; "Eu", 63; "Gd", 64; "Tb", 65; "Dy", 66; "Ho", 67; "Er", 68; "Tm", 69; "Yb", 70; "Lu", 71; "Hf", 72; "Ta", 73; "W", 74; "Re", 75; "Os", 76; "Ir", 77; "Pt", 78; "Au", 79; "Hg", 80; "Tl", 81; "Pb", 82; "Bi", 83; "Po", 84; "At", 85; "Rn", 86; "Fr", 87; "Ra", 88; "Ac", 89; "Th", 90; "Pa", 91; "U", 92; "Np", 93; "Pu", 94; "Am", 95; "Cm", 96; "Bk", 97; "Cf", 98; "Es", 99; "Fm", 100; "Md", 101; "No", 102; "Lr", 103; "Rf", 104; "Db", 105; "Sg", 106; "Bh", 107; "Hs", 108; "Mt", 109; "Ds", 110; "Rg", 111; "Cn", 112; "Nh", 113; "Fl", 114; "Mc", 115; "Lv", 116; "Ts", 117; "Og", 118 },2,FALSE),"?"))))</definedName>
    <definedName name="MORSE_TO">LAMBDA(cell, JOIN(" ",ARRAYFORMULA(IFERROR(VLOOKUP(SUBSTITUTE(MID(UPPER(CELL),SEQUENCE(LEN(UPPER(CELL))),1),"?","~?"),{"A",".-";"B","-...";"C","-.-.";"D","-..";"E",".";"F","..-.";"G","--.";"H","....";"I","..";"J",".---";"K","-.-";"L",".-..";"M","--";"N","-.";"O","---";"P",".--.";"Q","--.-";"R",".-.";"S","...";"T","-";"U","..-";"V","...-";"W",".--";"X","-..-";"Y","-.--";"Z","--..";" ","/";"1",".----";"2","..---";"3","...--";"4","....-";"5",".....";"6","-....";"7","--...";"8","---..";"9","----.";"0","-----";".",".-.-.-";",","--..--";"?","..--..";"'",".----.";"!","-.-.--";"/","-..-.";"(","-.--.";")","-.--.-";"&amp;",".-...";":","---...";";","-.-.-.";"=","-...-";"+",".-.-.-";"-","-....-";"_","..--.-";"""",".-..-.";"$","...-..-";"@",".--.-."},2,FALSE)))))</definedName>
    <definedName name="AMBIG_BINARY">LAMBDA(cell_or_range, CONCATENATE(FILTER(ALPHABET(),ARRAYFORMULA(REGEXMATCH(PAD_LEFT(DEC2BIN(SEQUENCE(26)),"0",5),REGEXREPLACE(PAD_LEFT(
CONCATENATE(ARRAYFORMULA(IF(ISBLANK(cell_or_range),".",cell_or_range))),"0",5)
,"[^01]","."))))))</definedName>
    <definedName name="LETTER_BANK">LAMBDA(cell, regexreplace("ABCDEFGHIJKLMNOPQRSTUVWXYZ","[^"&amp;REGEXREPLACE(UPPER(CELL),"[^A-Z]","")&amp;"]",""))</definedName>
    <definedName name="RIGHT_ALL_BUT">LAMBDA(string, number, RIGHT(string, LEN(string)-number))</definedName>
    <definedName name="NUTRIQ">LAMBDA(range, {"https://nutrimatic.org/?q="&amp;
QUOTE(WOFA(range));IMPORTXML("https://nutrimatic.org/?q="&amp;
QUOTE(WOFA(range)),"//span")})</definedName>
    <definedName name="INDEX_INTO">LAMBDA(cell, number, if(len(ANSWERIZE(CELL))&lt;NUMBER,"_",mid(ANSWERIZE(CELL),NUMBER,1)))</definedName>
    <definedName name="ALPHABETIZE">LAMBDA(cell, ARRAYFORMULA(CONCATENATE(SORT(MID(UPPER(CELL),SEQUENCE(LEN(CELL)),1)))))</definedName>
    <definedName name="MSET_SUM">LAMBDA(a, b, ALPHABETIZE(ANSWERIZE(a&amp;b)))</definedName>
    <definedName name="AMBIG_MORSE">LAMBDA(cell, CONCATENATE(FILTER(ALPHABET(),ARRAYFORMULA(REGEXMATCH({".-";"-...";"-.-.";"-..";".";"..-.";"--.";"....";"..";".---";"-.-";".-..";"--";"-.";"---";".--.";"--.-";".-.";"...";"-";"..-";"...-";".--";"-..-";"-.--";"--.."},
"^"&amp;SUBSTITUTE(SUBSTITUTE(SUBSTITUTE(REGEXREPLACE(cell,"[^-.*?]",""),"*","[.-]*"),"?","[.-]"),".","\.")&amp;"$")))))</definedName>
    <definedName name="QAT">LAMBDA(range, "https://quinapalus.com/cgi-bin/qat?pat="&amp;SUBSTITUTE(
WOF(range),"_","."))</definedName>
    <definedName name="INTERSECT">LAMBDA(cell1, cell2, ALPHABETIZE(REGEXREPLACE(ANSWERIZE(cell1), "[^"&amp;ANSWERIZE(cell2)&amp;"]", "")))</definedName>
    <definedName name="FILTER_BY_LAMBDA">LAMBDA(range, lamb, FILTER(range, MAP(range,lamb)))</definedName>
    <definedName name="BINARY_COUNT">LAMBDA(cell, SUBSTITUTE(SUBSTITUTE(SUBSTITUTE(
SUBSTITUTE(REGEXREPLACE(cell&amp;"", "[^1234]", ""), "1", "ABDHP"), "2", "CEFIJLQRTX"), "3", "GKMNSUVYZ"), "4", "OW"))</definedName>
    <definedName name="COUNT_ONLY">LAMBDA(string, letter, LEN(REGEXREPLACE(UPPER(string),"[^"&amp;UPPER(letter)&amp;"]","")))</definedName>
    <definedName name="LEN_A">LAMBDA(string, LEN(ANS(string)))</definedName>
    <definedName name="MULTIINDEX">LAMBDA(array, index, LET(x, SUBSTITUTE(JOIN("",ARRAYFORMULA(I(array,index))),"_",""),IF(x = "", "_", x)))</definedName>
    <definedName name="MISSING_LETTERS">LAMBDA(cell, regexreplace("ABCDEFGHIJKLMNOPQRSTUVWXYZ","["&amp;upper(cell)&amp;"]",""))</definedName>
    <definedName name="PERIODIC">LAMBDA(cell, TEXTJOIN(" ",TRUE,ARRAYFORMULA(IFNA(VLOOKUP(split(CELL," "),{1, "H"; 2, "He"; 3, "Li"; 4, "Be"; 5, "B"; 6, "C"; 7, "N"; 8, "O"; 9, "F"; 10, "Ne"; 11, "Na"; 12, "Mg"; 13, "Al"; 14, "Si"; 15, "P"; 16, "S"; 17, "Cl"; 18, "Ar"; 19, "K"; 20, "Ca"; 21, "Sc"; 22, "Ti"; 23, "V"; 24, "Cr"; 25, "Mn"; 26, "Fe"; 27, "Co"; 28, "Ni"; 29, "Cu"; 30, "Zn"; 31, "Ga"; 32, "Ge"; 33, "As"; 34, "Se"; 35, "Br"; 36, "Kr"; 37, "Rb"; 38, "Sr"; 39, "Y"; 40, "Zr"; 41, "Nb"; 42, "Mo"; 43, "Tc"; 44, "Ru"; 45, "Rh"; 46, "Pd"; 47, "Ag"; 48, "Cd"; 49, "In"; 50, "Sn"; 51, "Sb"; 52, "Te"; 53, "I"; 54, "Xe"; 55, "Cs"; 56, "Ba"; 57, "La"; 58, "Ce"; 59, "Pr"; 60, "Nd"; 61, "Pm"; 62, "Sm"; 63, "Eu"; 64, "Gd"; 65, "Tb"; 66, "Dy"; 67, "Ho"; 68, "Er"; 69, "Tm"; 70, "Yb"; 71, "Lu"; 72, "Hf"; 73, "Ta"; 74, "W"; 75, "Re"; 76, "Os"; 77, "Ir"; 78, "Pt"; 79, "Au"; 80, "Hg"; 81, "Tl"; 82, "Pb"; 83, "Bi"; 84, "Po"; 85, "At"; 86, "Rn"; 87, "Fr"; 88, "Ra"; 89, "Ac"; 90, "Th"; 91, "Pa"; 92, "U"; 93, "Np"; 94, "Pu"; 95, "Am"; 96, "Cm"; 97, "Bk"; 98, "Cf"; 99, "Es"; 100, "Fm"; 101, "Md"; 102, "No"; 103, "Lr"; 104, "Rf"; 105, "Db"; 106, "Sg"; 107, "Bh"; 108, "Hs"; 109, "Mt"; 110, "Ds"; 111, "Rg"; 112, "Cn"; 113, "Nh"; 114, "Fl"; 115, "Mc"; 116, "Lv"; 117, "Ts"; 118, "Og"},2,FALSE),"?"))))</definedName>
    <definedName name="GREEK_ALPHABET">LAMBDA({"alpha";"beta";"gamma";"delta";"epsilon";"zeta";"eta";"theta";"iota";"kappa";"lambda";"mu";"nu";"xi";"omicron";"pi";"rho";"sigma";"tau";"upsilon";"phi";"chi";"psi";"omega"})</definedName>
    <definedName name="MSET_UNION">LAMBDA(a, b, CONCATENATE(MAP({SEQUENCE(10,1,0);ALPHABET()}, LAMBDA(x,REPT(x,MAX(COUNT_ONLY(a,x),COUNT_ONLY(b,x)))))))</definedName>
    <definedName name="TO_ARRAY">LAMBDA(array, LET(x,FLATTEN(array),"["&amp;JOIN(",",ARRAYFORMULA(IF(ISNUMBER(x),x,QUOTE(x))))&amp;"]"))</definedName>
    <definedName name="UNBLANK">LAMBDA(range, ARRAYFORMULA(SUBSTITUTE(FILTER(range,NOT(ISBLANK(range))),"?","")))</definedName>
    <definedName name="Z">LAMBDA(cell, IF(ISNUMBER(CELL),IF(AND(CELL&gt;=1,CELL&lt;=26,MOD(CELL,1)=0),CHAR(64+CELL),"Invalid number"),IF(REGEXMATCH(CELL,"^[A-Za-z]$"),CODE(UPPER(CELL))-64,"Invalid character")))</definedName>
    <definedName name="NATO_ALPHABET">LAMBDA({"Alfa";"Bravo";"Charlie";"Delta";"Echo";"Foxtrot";"Golf";"Hotel";"India";"Juliett";"Kilo";"Lima";"Mike";"November";"Oscar";"Papa";"Quebec";"Romeo";"Sierra";"Tango";"Uniform";"Victor";"Whiskey";"Xray";"Yankee";"Zulu"})</definedName>
    <definedName name="HISTOGRAM">LAMBDA(range, LET(x, unique(tocol(range,1)),{x,map(x,LAMBDA(c,countif(range, c)))}))</definedName>
    <definedName name="BRACKET_SPLIT">LAMBDA(cell, IF(LEN(CELL)=0,"",IF(LEFT(CELL,1)&lt;&gt;"[",{LEFT(CELL,1),BRACKET_SPLIT(MID(CELL,2,LEN(CELL)-1))},{MID(CELL,2,FIND("]",CELL,1)-2),BRACKET_SPLIT(MID(CELL,FIND("]",CELL,1)+1,LEN(CELL)))})))</definedName>
    <definedName name="SORT_BY_LENGTH">LAMBDA(range, SORT(RANGE,LEN(REGEXREPLACE(UPPER(RANGE),"[^A-Z0-9]","")),TRUE,1,TRUE))</definedName>
    <definedName name="KINSEY_MILLHONE_ALPHABET">LAMBDA({"Alibi";"Burglar";"Corpse";"Deadbeat";"Evidence";"Fugitive";"Gumshoe";"Homicide";"Innocent";"Judgment";"Killer";"Lawless";"Malice";"Noose";"Outlaw";"Peril";"Quarry";"Ricochet";"Silence";"Trespass";"Undertow";"Vengeance";"Wasted";"X";"Yesterday"})</definedName>
    <definedName name="CAESAR">LAMBDA(cell, shift, IF(CELL="","",IFS(REGEXMATCH(LEFT(CELL,1),"[A-Z]"),CHAR(65+MOD(CODE(LEFT(CELL,1))-65+SHIFT,26)),REGEXMATCH(LEFT(CELL,1),"[a-z]"),CHAR(97+MOD(CODE(LEFT(CELL,1))-97+SHIFT,26)),TRUE,LEFT(CELL,1))&amp;CAESAR(MID(CELL,2,LEN(CELL)-1),SHIFT)))</definedName>
    <definedName name="GASHLYCRUMB_ALPHABET">LAMBDA({"Amy","fell down the stairs";"Basil","assaulted by bears";"Clara","wasted away";"Desmond","thrown out of a sleigh";"Ernest","choked on a peach";"Fanny","sucked dry by a leech";"George","smothered under a rug";"Hector","done in by a thug";"Ida","drowned in a lake";"James","took lye by mistake";"Kate","struck with an axe";"Leo","swallowed some tacks";"Maud","swept out to sea";"Neville","died of ennui";"Olive","run through with an awl";"Prue","trampled flat in a brawl";"Quentin","sank in a mire";"Rhoda","consumed by a fire";"Susan","perished of fits";"Titus","flew into bits";"Una","slipped down a drain";"Victor","squashed under a train";"Winnie","embedded in ice";"Xerxes","devoured by mice";"Yorick","head was knocked in";"Zillah","drank too much gin"})</definedName>
    <definedName name="AMBIG_SEMAPHORE">LAMBDA(range, SUBSTITUTE(CONCATENATE(FILTER(SPLIT_CELLS_VERT("__G_NA__ZF_M____SB_H___R________XE_L___W_______Q________________VD_K___J_______P_________________________________________________C_I___Y_______O_______________U_______________________________T"),ARRAYFORMULA(REGEXMATCH(PAD_LEFT(DEC2BIN(SEQUENCE(192)),"0",8),REGEXREPLACE(REPLACE(CONCATENATE(ARRAYFORMULA(IF(ISBLANK(range),".",MID(range,1,1)))),5,1,"")
,"[^01]","."))))),"_",""))</definedName>
    <definedName name="MAKE_CROSSWORD">LAMBDA(grid, across_numbers, across_words, down_numbers, down_words, MAKEARRAY(ROWS(GRID),COLUMNS(GRID),LAMBDA(R,C,TEXTJOIN("/",TRUE,UNIQUE({CROSSWORD_LETTER(GRID,ACROSS_NUMBERS,ACROSS_WORDS,R,C,1,0,-1);CROSSWORD_LETTER(GRID,DOWN_NUMBERS,DOWN_WORDS,R,C,1,-1,0)})))))</definedName>
    <definedName name="PAD_LEFT">LAMBDA(string, character, length, REPT(character, length-LEN(string))&amp;string)</definedName>
    <definedName name="VIGENERE">LAMBDA(text, key, direction, ARRAYFORMULA(CONCATENATE(CHAR(65+MOD(CODE(MID(REGEXREPLACE(UPPER(TEXT),"[^A-Z]",""),SEQUENCE(LEN(REGEXREPLACE(UPPER(TEXT),"[^A-Z]",""))),1))-65+DIRECTION*CODE(MID(REGEXREPLACE(UPPER(KEY),"[^A-Z]",""),1+MOD(SEQUENCE(LEN(REGEXREPLACE(UPPER(TEXT),"[^A-Z]","")))-1,LEN(REGEXREPLACE(UPPER(KEY),"[^A-Z]",""))),1))-65,26)))))</definedName>
    <definedName name="NUTRIQUERY">LAMBDA(query, LET(x,"https://nutrimatic.org/?q="&amp;
SUB(query,"&amp;","%26"),
{x;IMPORTXML(x,"//span")}))</definedName>
    <definedName name="EIGENLETTER">LAMBDA(cell, cell2, IF(MIN(LEN(CELL),LEN(CELL2))=0,"",CONCATENATE(ARRAYFORMULA(IF(MID(CELL,SEQUENCE(MIN(LEN(CELL),LEN(CELL2))),1)=MID(CELL2,SEQUENCE(MIN(LEN(CELL),LEN(CELL2))),1),MID(CELL,SEQUENCE(MIN(LEN(CELL),LEN(CELL2))),1),"")))))</definedName>
    <definedName name="WOFA">LAMBDA(range, CONCATENATE(ARRAYFORMULA(IF(RANGE="","A",IF(LEN(RANGE)=1,LOWER(RANGE),"["&amp;LOWER(RANGE)&amp;"]")))))</definedName>
    <definedName name="FROM_PHONESPELL">LAMBDA(cell, NUTRIQUERY(SUB_CIPHER_ARR(cell,{"2";"3";"4";"5";"6";"7";"8";"9"},{"[abc]";"[def]";"[ghi]";"[jkl]";"[mno]";"[pqrs]";"[tuv]";"[wxyz]"})))</definedName>
    <definedName name="TO_2D_ARRAY">LAMBDA(array, LEFT_ALL_BUT(SUBSTITUTE(("[["&amp;JOIN(",",FLATTEN({ARRAYFORMULA(IF(ISNUMBER(array),array,QUOTE(array))),TRANSPOSE(SPLIT_INTO_CHUNKS(REPT("],[",ROWS(array)), 3))}))),",],[,","],["),4)&amp;"]]")</definedName>
    <definedName name="REVERSE">LAMBDA(cell, CONCATENATE(ARRAYFORMULA(MID(CELL,LEN(CELL)+1-SEQUENCE(LEN(CELL)),1))))</definedName>
    <definedName name="BRAILLE">LAMBDA(cell, CONCATENATE(ARRAYFORMULA(IF(MID(upper(CELL),SEQUENCE(LEN(CELL)),1)=" ","/",IFERROR(CHAR(10240 + FIND(MID(upper(CELL),SEQUENCE(LEN(CELL)),1), REGEXREPLACE("A_B_K_L_CIF_MSP_E_H_O_R_DJG_NTQ_____U_V_____X_______Z____W__Y","_"," "))),"")))))</definedName>
    <definedName name="RLE">LAMBDA(range, ARRAYFORMULA({SORT(UNIQUE(range)),COUNTIF(range,SORT(UNIQUE(range)))}))</definedName>
    <definedName name="NUTRIQUOTE">LAMBDA(range, NUTRIQUERY(QUOTE(WOFA(range))))</definedName>
    <definedName name="CLUE_FORMATTER">LAMBDA(cell, pattern, ARRAYFORMULA(IFERROR(
LET(x,REGEXEXTRACT(cell,SUB(SUB(SUB(SUB(SUB(SUB(SUB_CIPHER_ARR(pattern,{"(",")","[","]",".","*","?", "\", "^", "$"},{"\(","\)","\[","\]","\.","\*","\?", "\\", "\^", "\$"}),"##",CHAR(60000)),"~~",CHAR(60001)),"#","([-.0-9 ]*)"),"~","(.*)"),CHAR(60000),"#"),CHAR(60001),"~")),ARRAYFORMULA(IFERROR(IF(ISBLANK(x),x,VALUE(x)),x))),cell)))</definedName>
    <definedName name="TO_PHONESPELL">LAMBDA(cell, SUB_CIPHER(ANS(cell),"ABCDEFGHIJKLMNOPQRSTUVWXYZ","22233344455566677778889999"))</definedName>
    <definedName name="CROSSWORD_LETTER">LAMBDA(grid, numbers, words, r, c, ind, dr, dc, IF(OR(R&lt;1,C&lt;1),"",IFERROR(INDEX(BRACKET_SPLIT(VLOOKUP(INDEX(GRID,R,C),{NUMBERS,WORDS},2,FALSE)),IND),CROSSWORD_LETTER(GRID,NUMBERS,WORDS,R+DR,C+DC,IND+1,DR,DC))))</definedName>
    <definedName name="ATBASH">LAMBDA(cell, SUB_CIPHER(cell,"ABCDEFGHIJKLMNOPQRSTUVWXYZ","ZYXWVUTSRQPONMLKJIHGFEDCBA"))</definedName>
    <definedName name="LEFT_ALL_BUT">LAMBDA(string, number, LEFT(string, LEN(string)-number))</definedName>
    <definedName name="NGRAMS">LAMBDA(cell, number, JOIN(" ",ARRAYFORMULA(MID(ANSWERIZE(CELL),1+NUMBER*(sequence(CEILING(Len(ANSWERIZE(CELL))/NUMBER))-1),NUMBER))))</definedName>
    <definedName name="ENUMERATE">LAMBDA(cell, IF(CELL="","",IF(REGEXMATCH(LEFT(UPPER(CELL),1),"[^A-Z0-9_]"),LEFT(UPPER(CELL),1)&amp;ENUMERATE(MID(CELL,2,LEN(CELL)-1)),LEN(REGEXREPLACE(UPPER(CELL),"[^A-Z0-9_].*",""))&amp;ENUMERATE(MID(CELL,LEN(REGEXREPLACE(UPPER(CELL),"[^A-Z0-9_].*",""))+1,LEN(CELL))))))</definedName>
    <definedName name="A1Z26">LAMBDA(cell, IF(ISNUMBER(CELL),IF(AND(CELL&gt;=1,CELL&lt;=26,MOD(CELL,1)=0),CHAR(64+CELL),"Invalid number"),IF(REGEXMATCH(CELL,"^[A-Za-z]$"),CODE(UPPER(CELL))-64,"Invalid character")))</definedName>
    <definedName name="COLORRGB">LAMBDA(red, green, blue, SPARKLINE({1},{"charttype","bar";"color1","rgb("&amp;red&amp;","&amp;green&amp;","&amp;blue&amp;")"}))</definedName>
    <definedName name="NUTRI">LAMBDA(range, NUTRIQUERY(WOFA(range)))</definedName>
    <definedName name="AMBIG_BRAILLE">LAMBDA(range, SUBSTITUTE(CONCATENATE(FILTER(SPLIT_CELLS_VERT("I_S_JWT_A_KUE_OZB_LVH_R_C_MXD_NYF_P_G_Q"),ARRAYFORMULA(REGEXMATCH(PAD_LEFT(DEC2BIN(SEQUENCE(39,1,24)),"0",6),REGEXREPLACE(CONCATENATE(ARRAYFORMULA(IF(ISBLANK(range),".",MID(range,1,1))))
,"[^01]","."))))),"_",""))</definedName>
    <definedName name="ROTATE_CW">LAMBDA(array, HFLIP(TR(array)))</definedName>
    <definedName name="FILTER_NTH_LETTER">LAMBDA(array, index, letters, REGEXFILTER_EXACT(array, REGEX_NTH_LETTER(index, letters)))</definedName>
    <definedName name="TO_SHEET_ARRAY">LAMBDA(array, LEFT_ALL_BUT(SUBSTITUTE(("={"&amp;JOIN(",",FLATTEN({ARRAYFORMULA(IF(ISNUMBER(array),array,QUOTE(array))),SPLIT_CELLS_VERT(REPT(";",ROWS(array)))}))),",;,",";"),2)&amp;"}")</definedName>
    <definedName name="SUB_CIPHER_ARR">LAMBDA(original, in_key, out_key, CONCATENATE(ARRAYFORMULA(IFERROR(VLOOKUP(SPLIT_INTO_CELLS(original),{FLATTEN(in_key),FLATTEN(out_key)},2,FALSE),SPLIT_INTO_CELLS(original)))))</definedName>
    <definedName name="TR">LAMBDA(arr, TRANSPOSE(arr))</definedName>
    <definedName name="REGEX_NTH_LETTER">LAMBDA(index, letters, ".{"&amp;(index-1)&amp;"}["&amp;LOWER(letters)&amp;upper(letters)&amp;"].*")</definedName>
    <definedName name="RNA_COMPLEMENT">LAMBDA(input, SUB_CIPHER(input,"ACGTUWSMKRYBDHVN","TGCUTWSKMYRVHDBN"))</definedName>
    <definedName name="ANSWERIZE">LAMBDA(cell, REGEXREPLACE(UPPER(cell),"[^A-Z0-9]+",""))</definedName>
    <definedName name="AMBIG_TERNARY">LAMBDA(cell_or_range, CONCATENATE(FILTER(ALPHABET(),ARRAYFORMULA(REGEXMATCH(BASE(SEQUENCE(26), 3, 3),REGEXREPLACE(PAD_LEFT(
CONCATENATE(ARRAYFORMULA(IF(ISBLANK(cell_or_range),".",cell_or_range))),"0",3)
,"[^012]","."))))))</definedName>
    <definedName name="ROTATE_180">LAMBDA(array, HFLIP(TR(HFLIP(TR(array)))))</definedName>
    <definedName name="NUMBERED_GRID">LAMBDA(grid1, grid2, SORT(FILTER({FLATTEN(grid2),FLATTEN(grid1)},ISNUMBER(FLATTEN(grid2)))))</definedName>
    <definedName name="SUB_CIPHER">LAMBDA(original, in_key, out_key, CONCATENATE(ARRAYFORMULA(IFERROR(HLOOKUP(SPLIT_INTO_CELLS(original),{SPLIT_INTO_CELLS(in_key);SPLIT_INTO_CELLS(out_key)},2,FALSE),SPLIT_INTO_CELLS(original)))))</definedName>
    <definedName name="VFLIP">LAMBDA(array, SORT(array,SEQUENCE(ROWS(array)),FALSE))</definedName>
    <definedName name="FILTER_LENGTH">LAMBDA(array, length, REGEXFILTER_EXACT(array, "[^a-zA-Z]*(?:[a-zA-Z][^a-zA-Z]*){"&amp;length&amp;"}"))</definedName>
    <definedName name="A1Z26SUM">LAMBDA(cell, SUM(ARRAYFORMULA(IFNA(VLOOKUP(MID(UPPER(CELL),SEQUENCE(LEN(CELL)),1),{"A", 1; "B", 2; "C", 3; "D", 4; "E", 5; "F", 6; "G", 7; "H", 8; "I", 9; "J", 10; "K", 11; "L", 12; "M", 13; "N", 14; "O", 15; "P", 16; "Q", 17; "R", 18; "S", 19; "T", 20; "U", 21; "V", 22; "W", 23; "X", 24; "Y", 25; "Z", 26},2,FALSE),0))))</definedName>
    <definedName name="REGEXFILTER_EXACT">LAMBDA(range, regex, FILTER(range,ARRAYFORMULA(REGEXMATCH(range,"^"&amp;regex&amp;"$"))))</definedName>
    <definedName name="PIECES">LAMBDA(range, from, to, starts, iters, IF(ITERS=0,MAP(SEQUENCE(1,COLUMNS(RANGE)),LAMBDA(x,"")),IF(ISERROR(INDEX(STARTS,1)),MAP(SEQUENCE(1,COLUMNS(RANGE)),LAMBDA(x,"")),IF(ISERROR(FILTER(RANGE,FROM=INDEX(STARTS,1))),{MAP(SEQUENCE(1,COLUMNS(RANGE)),LAMBDA(x,""));IFERROR(PIECES(RANGE,FROM,TO,FILTER(STARTS,STARTS&lt;&gt;INDEX(STARTS,1)),ITERS))},{FILTER(RANGE,FROM=INDEX(STARTS,1));IFERROR(PIECES(RANGE,FROM,TO,{VLOOKUP(INDEX(STARTS,1),{FROM,TO},2,FALSE);FILTER(STARTS,STARTS&lt;&gt;INDEX(STARTS,1))},ITERS-1))}))))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Remove leading dot when using formulae.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7">
      <text>
        <t xml:space="preserve">1.5 or 3/2 both work as well!
You do need to use an interpunct symbol and not a period; if that is too inconvenient you may also use a +</t>
      </text>
    </comment>
  </commentList>
</comments>
</file>

<file path=xl/sharedStrings.xml><?xml version="1.0" encoding="utf-8"?>
<sst xmlns="http://schemas.openxmlformats.org/spreadsheetml/2006/main" count="780" uniqueCount="635">
  <si>
    <t>#</t>
  </si>
  <si>
    <t>[INCLUDE CRITICAL HANDOVER INFO]</t>
  </si>
  <si>
    <t>Vertical grid</t>
  </si>
  <si>
    <t>Insert stuff that's been tried, hasn't been tried, etc.</t>
  </si>
  <si>
    <t>FORMULA</t>
  </si>
  <si>
    <t>DESCRIPTION</t>
  </si>
  <si>
    <t>HELPFUL LINKS</t>
  </si>
  <si>
    <t>COPYPASTABLE SYMBOLS</t>
  </si>
  <si>
    <t>=MID(STRING,N1,N2)</t>
  </si>
  <si>
    <t>Index a segment of length N2 into STRING starting from position N1.</t>
  </si>
  <si>
    <t>Google Sheets Puzzle Tricks - Google Kalkylark</t>
  </si>
  <si>
    <t>All Named functions described + extra tricks</t>
  </si>
  <si>
    <t>=CHAR(A1+64)</t>
  </si>
  <si>
    <t>Convert a number 1-26 to a letter A-Z.</t>
  </si>
  <si>
    <t>Tables of Things - Google Kalkylark</t>
  </si>
  <si>
    <t>Useful copy-able tables</t>
  </si>
  <si>
    <t>♟</t>
  </si>
  <si>
    <t>♜</t>
  </si>
  <si>
    <t>♞</t>
  </si>
  <si>
    <t>♝</t>
  </si>
  <si>
    <t>♛</t>
  </si>
  <si>
    <t>♚</t>
  </si>
  <si>
    <t>↖</t>
  </si>
  <si>
    <t>↑</t>
  </si>
  <si>
    <t>↗</t>
  </si>
  <si>
    <t>╱</t>
  </si>
  <si>
    <t>=CODE(A1)-64</t>
  </si>
  <si>
    <t>Convert a letter A-Z to a number 1-26.</t>
  </si>
  <si>
    <t>♙</t>
  </si>
  <si>
    <t>♖</t>
  </si>
  <si>
    <t>♘</t>
  </si>
  <si>
    <t>♗</t>
  </si>
  <si>
    <t>♕</t>
  </si>
  <si>
    <t>♔</t>
  </si>
  <si>
    <t>←</t>
  </si>
  <si>
    <t>✪</t>
  </si>
  <si>
    <t>→</t>
  </si>
  <si>
    <t>✓</t>
  </si>
  <si>
    <t>=TEA(QUERY)</t>
  </si>
  <si>
    <t>Performs a Nutrimatic Search on QUERY</t>
  </si>
  <si>
    <t>https://www.puzzlehunt.net/tools</t>
  </si>
  <si>
    <t>List of resources</t>
  </si>
  <si>
    <t>↙</t>
  </si>
  <si>
    <t>↓</t>
  </si>
  <si>
    <t>↘</t>
  </si>
  <si>
    <t>☀</t>
  </si>
  <si>
    <t>https://nutrimatic.org/</t>
  </si>
  <si>
    <t>Anagrams, Pattern Matching</t>
  </si>
  <si>
    <t>https://www.quinapalus.com/qat.html</t>
  </si>
  <si>
    <t>Pattern Finding/Matching</t>
  </si>
  <si>
    <t>Ⓐ</t>
  </si>
  <si>
    <t>Ⓑ</t>
  </si>
  <si>
    <t>Ⓒ</t>
  </si>
  <si>
    <t>Ⓓ</t>
  </si>
  <si>
    <t>Ⓔ</t>
  </si>
  <si>
    <t>Ⓕ</t>
  </si>
  <si>
    <t>Ⓖ</t>
  </si>
  <si>
    <t>Ⓗ</t>
  </si>
  <si>
    <t>Ⓘ</t>
  </si>
  <si>
    <t>Ⓙ</t>
  </si>
  <si>
    <t>Ⓚ</t>
  </si>
  <si>
    <t>Ⓛ</t>
  </si>
  <si>
    <t>︎Ⓜ︎</t>
  </si>
  <si>
    <t>https://www.onelook.com/</t>
  </si>
  <si>
    <t>Dictionary searching</t>
  </si>
  <si>
    <t>Ⓝ</t>
  </si>
  <si>
    <t>Ⓞ</t>
  </si>
  <si>
    <t>Ⓟ</t>
  </si>
  <si>
    <t>Ⓠ</t>
  </si>
  <si>
    <t>Ⓡ</t>
  </si>
  <si>
    <t>Ⓢ</t>
  </si>
  <si>
    <t>Ⓣ</t>
  </si>
  <si>
    <t>Ⓤ</t>
  </si>
  <si>
    <t>Ⓥ</t>
  </si>
  <si>
    <t>Ⓦ</t>
  </si>
  <si>
    <t>Ⓧ</t>
  </si>
  <si>
    <t>Ⓨ</t>
  </si>
  <si>
    <t>Ⓩ</t>
  </si>
  <si>
    <t>⓪</t>
  </si>
  <si>
    <t>①</t>
  </si>
  <si>
    <t>②</t>
  </si>
  <si>
    <t>③</t>
  </si>
  <si>
    <t>④</t>
  </si>
  <si>
    <t>⑤</t>
  </si>
  <si>
    <t>⑥</t>
  </si>
  <si>
    <t>⑦</t>
  </si>
  <si>
    <t>⑧</t>
  </si>
  <si>
    <t>⑨</t>
  </si>
  <si>
    <t>⑩</t>
  </si>
  <si>
    <t>https://www.dcode.fr/en</t>
  </si>
  <si>
    <t>Ciphers</t>
  </si>
  <si>
    <t>https://www.quipqiup.com/</t>
  </si>
  <si>
    <t>Cryptograms</t>
  </si>
  <si>
    <t>ɪ</t>
  </si>
  <si>
    <t>ɚ</t>
  </si>
  <si>
    <t>ʊ</t>
  </si>
  <si>
    <t>θ</t>
  </si>
  <si>
    <t>ð</t>
  </si>
  <si>
    <t>ŋ</t>
  </si>
  <si>
    <t>♠</t>
  </si>
  <si>
    <t>♥</t>
  </si>
  <si>
    <t>♣</t>
  </si>
  <si>
    <t>♦</t>
  </si>
  <si>
    <t>https://github.com/dessant/search-by-image</t>
  </si>
  <si>
    <t>Reverse Image Search</t>
  </si>
  <si>
    <t>ɛ</t>
  </si>
  <si>
    <t>ə</t>
  </si>
  <si>
    <t>ʌ</t>
  </si>
  <si>
    <t>ʃ</t>
  </si>
  <si>
    <t>ʒ</t>
  </si>
  <si>
    <t>ʔ</t>
  </si>
  <si>
    <t>♤</t>
  </si>
  <si>
    <t>♡</t>
  </si>
  <si>
    <t>♧</t>
  </si>
  <si>
    <t>♢</t>
  </si>
  <si>
    <t>https://www.noq.solutions/</t>
  </si>
  <si>
    <t>Logic Puzzle Solver</t>
  </si>
  <si>
    <t>æ</t>
  </si>
  <si>
    <t>ɑ</t>
  </si>
  <si>
    <t>ɔ</t>
  </si>
  <si>
    <t>ʧ</t>
  </si>
  <si>
    <t>ʤ</t>
  </si>
  <si>
    <t>https://flagid.org/</t>
  </si>
  <si>
    <t>Flag Identification</t>
  </si>
  <si>
    <t>https://shapecatcher.com/</t>
  </si>
  <si>
    <t>Search Unicode characters by drawing</t>
  </si>
  <si>
    <t>⋯</t>
  </si>
  <si>
    <t>⋮</t>
  </si>
  <si>
    <t>⋰</t>
  </si>
  <si>
    <t>⋱</t>
  </si>
  <si>
    <t>↔</t>
  </si>
  <si>
    <t>↕</t>
  </si>
  <si>
    <t>THINGS TO TRY</t>
  </si>
  <si>
    <t>- Read first letters!</t>
  </si>
  <si>
    <t>SHORTCUTS</t>
  </si>
  <si>
    <t>- Drink water.</t>
  </si>
  <si>
    <r>
      <rPr>
        <rFont val="Arial"/>
        <color theme="1"/>
      </rPr>
      <t xml:space="preserve">Double click onto a cell and you can </t>
    </r>
    <r>
      <rPr>
        <rFont val="Arial"/>
        <b/>
        <color theme="1"/>
      </rPr>
      <t>partially</t>
    </r>
  </si>
  <si>
    <t>format cells.
You can also use Ctrl+Enter to make a new line</t>
  </si>
  <si>
    <t>Alt+Shift:</t>
  </si>
  <si>
    <t>Top border</t>
  </si>
  <si>
    <t>Right border</t>
  </si>
  <si>
    <t>Bottom border</t>
  </si>
  <si>
    <t>Left border</t>
  </si>
  <si>
    <t>Strikethrough</t>
  </si>
  <si>
    <t>Remove all borders</t>
  </si>
  <si>
    <t>Outer borders</t>
  </si>
  <si>
    <t>Ctrl+Shift+V: paste text only, keep formatting</t>
  </si>
  <si>
    <t>Ctrl+Alt+V: paste formatting only, keep text</t>
  </si>
  <si>
    <t>One-cell formulas</t>
  </si>
  <si>
    <t>Name</t>
  </si>
  <si>
    <t>Explanation</t>
  </si>
  <si>
    <t>Example input</t>
  </si>
  <si>
    <t>Example output</t>
  </si>
  <si>
    <t>ATBASH</t>
  </si>
  <si>
    <t>Atbash cipher</t>
  </si>
  <si>
    <t>told</t>
  </si>
  <si>
    <t>INTERSECT</t>
  </si>
  <si>
    <t>Letters that are shared between two strings, not necessarily in the same position. (Use EIGENLETTER for that.)</t>
  </si>
  <si>
    <t>DERMATOGLYPHICS</t>
  </si>
  <si>
    <t>UNCOPYRIGHTABLES</t>
  </si>
  <si>
    <t>MSET_ISEC</t>
  </si>
  <si>
    <t>Like the above but deals with duplicates gracefully (takes minimum occurrences)</t>
  </si>
  <si>
    <t>CABBAGE</t>
  </si>
  <si>
    <t>BANANA</t>
  </si>
  <si>
    <t>MSET_UNION</t>
  </si>
  <si>
    <t>Letters that appear in either string (takes maximum occurrences for duplicates)</t>
  </si>
  <si>
    <t>MSET_DIFF</t>
  </si>
  <si>
    <t>Letters in A but not B (counts excess for duplicates)</t>
  </si>
  <si>
    <t>MSET_SUM</t>
  </si>
  <si>
    <t>Like union, but takes sum of occurrences</t>
  </si>
  <si>
    <t>Mathematics</t>
  </si>
  <si>
    <t>EVAL</t>
  </si>
  <si>
    <t>Evaluate an arithmetic expression. Only supports + - / * % (modulo)</t>
  </si>
  <si>
    <t>3+4*(5-6)</t>
  </si>
  <si>
    <t>[Backend note: this uses the QUERY Google Sheets API, hence the limitations. Also you can generally get away with just evaluating with =]</t>
  </si>
  <si>
    <t>(2/5) % (1/4)</t>
  </si>
  <si>
    <t>ISPRIME</t>
  </si>
  <si>
    <r>
      <rPr>
        <rFont val="Arial"/>
      </rPr>
      <t xml:space="preserve">Return if something is prime or not. Credit: </t>
    </r>
    <r>
      <rPr>
        <rFont val="Arial"/>
        <color rgb="FF1155CC"/>
        <u/>
      </rPr>
      <t>https://support.google.com/docs/thread/202256966/how-can-you-have-an-ifprime-function-in-google-sheets?hl=en</t>
    </r>
  </si>
  <si>
    <t>Science</t>
  </si>
  <si>
    <t>ATOMIC_MASS</t>
  </si>
  <si>
    <t>Compute the atomic mass of a chemical formula</t>
  </si>
  <si>
    <t>Si</t>
  </si>
  <si>
    <t>Note: probably doesn't play well with ions! or brackets! maybe will be fixed</t>
  </si>
  <si>
    <t>Mg(OH)2</t>
  </si>
  <si>
    <t>It "works" with adducts by adding them up</t>
  </si>
  <si>
    <t>K2CO3·3⁄2H2O</t>
  </si>
  <si>
    <t>BH3·O(CH2)4</t>
  </si>
  <si>
    <t>DNA_COMPLEMENT</t>
  </si>
  <si>
    <t>A &lt;-&gt; T, C &lt;-&gt; G</t>
  </si>
  <si>
    <t>GATTACA</t>
  </si>
  <si>
    <t>RNA_COMPLEMENT</t>
  </si>
  <si>
    <t>These also work for IUPAC shorthands for multiple base pairs, but that probably won't be relevant</t>
  </si>
  <si>
    <t>GUTTUCU</t>
  </si>
  <si>
    <t>More codesheet helpers</t>
  </si>
  <si>
    <t>Ambiguous:</t>
  </si>
  <si>
    <t>Fill out the data that you know. These formulae will determine what letters are left.</t>
  </si>
  <si>
    <t>AMBIG_BINARY</t>
  </si>
  <si>
    <t>(Almost equivalent to BINARY_WOF)</t>
  </si>
  <si>
    <t>01??1</t>
  </si>
  <si>
    <t>Also works with 1x5 array</t>
  </si>
  <si>
    <t>AMBIG_BRAILLE</t>
  </si>
  <si>
    <t>Convert a 3x2 array into Braille</t>
  </si>
  <si>
    <t>AMBIG_SEMAPHORE</t>
  </si>
  <si>
    <t>Convert a 3x3 array into semaphore</t>
  </si>
  <si>
    <t>AMBIG_MORSE</t>
  </si>
  <si>
    <t>Using Onelook-like syntax, convert a cell to Morse possibilities</t>
  </si>
  <si>
    <t>.-?</t>
  </si>
  <si>
    <t>.*</t>
  </si>
  <si>
    <t>AMBIG_AMINO</t>
  </si>
  <si>
    <t>This might not work sorry</t>
  </si>
  <si>
    <t>T??</t>
  </si>
  <si>
    <t>AMBIG_TERNARY</t>
  </si>
  <si>
    <t>Same as AMBIG_BINARY, but in ternary</t>
  </si>
  <si>
    <t>02?</t>
  </si>
  <si>
    <t>Analogous to AMBIG_BINARY.</t>
  </si>
  <si>
    <t>BINARY_COUNT</t>
  </si>
  <si>
    <t>Get letters that have some number of ones</t>
  </si>
  <si>
    <t>BRAILLE_COUNT</t>
  </si>
  <si>
    <t>Get letters that have some number of dots</t>
  </si>
  <si>
    <t>MORSE_COUNT</t>
  </si>
  <si>
    <t>Get letters that have some number of dots / dashes / total symbols</t>
  </si>
  <si>
    <t>&lt;- You can put multiple digits</t>
  </si>
  <si>
    <t>SEMAPHORE_ANGLE</t>
  </si>
  <si>
    <t>Get letters that have a particular semaphore angle (divided by 45 degrees)</t>
  </si>
  <si>
    <t>Other codes and stuff</t>
  </si>
  <si>
    <t>A1Z26SUM</t>
  </si>
  <si>
    <t>Computes sum of A1Z26 values of letters.</t>
  </si>
  <si>
    <t>REPRINT</t>
  </si>
  <si>
    <t>SUB_CIPHER</t>
  </si>
  <si>
    <t>Substitution cipher using strings. (Also see SUB_CIPHER_ARR, which uses an array and can be more powerful.)</t>
  </si>
  <si>
    <t>freddie</t>
  </si>
  <si>
    <t>defir</t>
  </si>
  <si>
    <t>syoed</t>
  </si>
  <si>
    <t>TO_PHONESPELL</t>
  </si>
  <si>
    <t>Converts letters to phonespell; preserves existing digits</t>
  </si>
  <si>
    <t>mambo no. 5</t>
  </si>
  <si>
    <t>FROM_PHONESPELL</t>
  </si>
  <si>
    <t>Converts phonespell digits to a regex. Then Nutrimatic's</t>
  </si>
  <si>
    <t>bei lost</t>
  </si>
  <si>
    <t>a film st</t>
  </si>
  <si>
    <t>be i lost</t>
  </si>
  <si>
    <t>beg lost</t>
  </si>
  <si>
    <t>Interfacing with websites</t>
  </si>
  <si>
    <t>(Output limited to 5 rows)</t>
  </si>
  <si>
    <t>NUTRI</t>
  </si>
  <si>
    <t>Feed in a range, outputs a Nutrimatic link complete with the results</t>
  </si>
  <si>
    <t>F</t>
  </si>
  <si>
    <t>NUTRIQUOTE</t>
  </si>
  <si>
    <t>This quotes the range - this means that spaces will not be added.</t>
  </si>
  <si>
    <t>_</t>
  </si>
  <si>
    <t>fair play</t>
  </si>
  <si>
    <t>I</t>
  </si>
  <si>
    <t>fairplay</t>
  </si>
  <si>
    <t>flipped a</t>
  </si>
  <si>
    <t>P</t>
  </si>
  <si>
    <t>ftii pune</t>
  </si>
  <si>
    <t>AEIOUY</t>
  </si>
  <si>
    <t>&lt;- Note that you can have multiple letters, and NUTRI will treat it as an option between any of them.</t>
  </si>
  <si>
    <t>NUTRIQUERY</t>
  </si>
  <si>
    <t>Just give it a bare Nutrimatic query</t>
  </si>
  <si>
    <t>&lt;benoisy&gt;</t>
  </si>
  <si>
    <t>siboney</t>
  </si>
  <si>
    <t>by noise</t>
  </si>
  <si>
    <t>noise by</t>
  </si>
  <si>
    <t>one is by</t>
  </si>
  <si>
    <t>QAT</t>
  </si>
  <si>
    <t>Range to Qat link. _'s are substituted for .'s. It only gives a link though</t>
  </si>
  <si>
    <t>More technical utilities</t>
  </si>
  <si>
    <t>Still helpful, but needs more work out of the box to use well in puzzle hunts</t>
  </si>
  <si>
    <t>LEFT_ALL_BUT</t>
  </si>
  <si>
    <t>Takes all but the last N characters of the string</t>
  </si>
  <si>
    <t>TAKE OUT THE LAST BIT</t>
  </si>
  <si>
    <r>
      <rPr>
        <rFont val="Fira Code"/>
        <color theme="1"/>
      </rPr>
      <t>RIGHT_ALL_BUT</t>
    </r>
    <r>
      <rPr>
        <rFont val="Arial"/>
        <color theme="1"/>
      </rPr>
      <t xml:space="preserve"> as well</t>
    </r>
  </si>
  <si>
    <t>TO_ARRAY</t>
  </si>
  <si>
    <t>Convert an array to an array that can be read in Python or another programming language.</t>
  </si>
  <si>
    <t>a</t>
  </si>
  <si>
    <t>TO_2D_ARRAY</t>
  </si>
  <si>
    <t>Same as above, but 2D array.</t>
  </si>
  <si>
    <t>b</t>
  </si>
  <si>
    <t>TO_SHEET_ARRAY</t>
  </si>
  <si>
    <t>Useful to stick into another sheets formula.</t>
  </si>
  <si>
    <r>
      <rPr>
        <rFont val="Arial"/>
        <b/>
        <color theme="1"/>
        <u/>
      </rPr>
      <t>Array Functions</t>
    </r>
    <r>
      <rPr>
        <rFont val="Arial"/>
        <b val="0"/>
        <color theme="1"/>
        <u/>
      </rPr>
      <t xml:space="preserve"> </t>
    </r>
    <r>
      <rPr>
        <rFont val="Arial"/>
        <b val="0"/>
        <i/>
        <color theme="1"/>
        <u/>
      </rPr>
      <t>(these take arrays as inputs or outputs, so they need a little more room.)</t>
    </r>
  </si>
  <si>
    <t>Example</t>
  </si>
  <si>
    <t>Output (highlighted in green)</t>
  </si>
  <si>
    <t>INDEX_INTO, but shorter, and better.</t>
  </si>
  <si>
    <t>ONE</t>
  </si>
  <si>
    <t>&lt;- Notice that this is one formula!</t>
  </si>
  <si>
    <t>You only have to specify arrays! You don't even need to drag.</t>
  </si>
  <si>
    <t>&lt;- Blank words result in _, which can be parsed as a Nutri wildcard</t>
  </si>
  <si>
    <t/>
  </si>
  <si>
    <t>&lt;- Blank indices result in nothing</t>
  </si>
  <si>
    <t>THREE</t>
  </si>
  <si>
    <t>?</t>
  </si>
  <si>
    <t>&lt;- "?" (or indeed, any non-numerical index) also result in _</t>
  </si>
  <si>
    <t>MULTIINDEX</t>
  </si>
  <si>
    <t>Index into multiple things</t>
  </si>
  <si>
    <t>TOGETHER</t>
  </si>
  <si>
    <t>(using second parameter = 3)</t>
  </si>
  <si>
    <t>(Note: if you want to diagonalize, use DIAGONAL_LETTERS instead.)</t>
  </si>
  <si>
    <t>READ</t>
  </si>
  <si>
    <t>THIRD</t>
  </si>
  <si>
    <t>LETTERS</t>
  </si>
  <si>
    <t>PAIRINDEX</t>
  </si>
  <si>
    <t>Using an x.y notation, index into things</t>
  </si>
  <si>
    <t>MAYBE</t>
  </si>
  <si>
    <t>11.11 1.2 11.10 1.1 7.2 9.4 5.1</t>
  </si>
  <si>
    <t>THERE</t>
  </si>
  <si>
    <t>ARE</t>
  </si>
  <si>
    <t>INDICES</t>
  </si>
  <si>
    <t>LATER</t>
  </si>
  <si>
    <t>TO</t>
  </si>
  <si>
    <t>GET</t>
  </si>
  <si>
    <t>OUR</t>
  </si>
  <si>
    <t>GREAT</t>
  </si>
  <si>
    <t>ANSWER</t>
  </si>
  <si>
    <t>REFRIGERATOR</t>
  </si>
  <si>
    <t>SUB_CIPHER_ARR</t>
  </si>
  <si>
    <t>Substitution cipher with arrays.</t>
  </si>
  <si>
    <t>ABRA</t>
  </si>
  <si>
    <t>CA</t>
  </si>
  <si>
    <t>c</t>
  </si>
  <si>
    <t>D</t>
  </si>
  <si>
    <t>abca</t>
  </si>
  <si>
    <t>UNBLANK</t>
  </si>
  <si>
    <t>Compacts array by removing blanks. Useful if copy-pasting inserts spaces.</t>
  </si>
  <si>
    <t>Clue 1: This</t>
  </si>
  <si>
    <t>Also useful if you do want to have spaces (for e.g. annotations), but you have extract data that needs to be de-spaced.</t>
  </si>
  <si>
    <r>
      <rPr>
        <rFont val="Arial"/>
        <color theme="1"/>
      </rPr>
      <t xml:space="preserve">If you intentionally </t>
    </r>
    <r>
      <rPr>
        <rFont val="Arial"/>
        <i/>
        <color theme="1"/>
      </rPr>
      <t>want</t>
    </r>
    <r>
      <rPr>
        <rFont val="Arial"/>
        <color theme="1"/>
      </rPr>
      <t xml:space="preserve"> a blank cell (e.g. for NUTRI(CORNDOG()) usage) use a ?.</t>
    </r>
  </si>
  <si>
    <t>Clue 2: That</t>
  </si>
  <si>
    <t>Clue 3: These</t>
  </si>
  <si>
    <t>CLUE_FORMATTER</t>
  </si>
  <si>
    <t>See the sheet "Clue formatter demo" for examples.</t>
  </si>
  <si>
    <t>FILTER_NTH_LETTER</t>
  </si>
  <si>
    <t>FILTER_LENGTH</t>
  </si>
  <si>
    <t>FILTER_BY_LAMBDA</t>
  </si>
  <si>
    <t>From an array, filter out only strings with a particular letter(s) in the nth position.</t>
  </si>
  <si>
    <t>E</t>
  </si>
  <si>
    <t>ABCDEFG</t>
  </si>
  <si>
    <t>LAMBDA(x,len(x)&gt;5)</t>
  </si>
  <si>
    <t>From an array, filter out only strings with a given number of letters.</t>
  </si>
  <si>
    <t>From an array, filter based on a lambda</t>
  </si>
  <si>
    <t>ER, followed by a character</t>
  </si>
  <si>
    <t>Some number of characters, ending in ER</t>
  </si>
  <si>
    <t>REGEXFILTER</t>
  </si>
  <si>
    <t>More powerful, but technical: filter by regular expression.</t>
  </si>
  <si>
    <t>REGEXFILTER:</t>
  </si>
  <si>
    <t>ER.</t>
  </si>
  <si>
    <t>REGEXFILTER_EXACT</t>
  </si>
  <si>
    <t>.*ER</t>
  </si>
  <si>
    <t>Exact requires an exact string match.</t>
  </si>
  <si>
    <t>Case sensitive! If you need a consistent casing, consider applying ANS() to the array, and performing an all-caps regex query.</t>
  </si>
  <si>
    <t>Transform an array:</t>
  </si>
  <si>
    <t>VFLIP</t>
  </si>
  <si>
    <t>Flip it vertically</t>
  </si>
  <si>
    <t>A1</t>
  </si>
  <si>
    <t>B2</t>
  </si>
  <si>
    <t>C3</t>
  </si>
  <si>
    <t>H8</t>
  </si>
  <si>
    <t>I9</t>
  </si>
  <si>
    <t>HFLIP</t>
  </si>
  <si>
    <t>Flip it horizontally</t>
  </si>
  <si>
    <t>D4</t>
  </si>
  <si>
    <t>E5</t>
  </si>
  <si>
    <t>F6</t>
  </si>
  <si>
    <t>ROTATE_CW</t>
  </si>
  <si>
    <t>Rotate clockwise 90 degrees</t>
  </si>
  <si>
    <t>G7</t>
  </si>
  <si>
    <t>ROTATE_CCW</t>
  </si>
  <si>
    <t>Rotate counterclockwise 90 degrees</t>
  </si>
  <si>
    <t>ROTATE_180</t>
  </si>
  <si>
    <t>Rotate 180 degrees</t>
  </si>
  <si>
    <t>TR</t>
  </si>
  <si>
    <t>Shorthand for TRANSPOSE</t>
  </si>
  <si>
    <t>cat</t>
  </si>
  <si>
    <t>bird</t>
  </si>
  <si>
    <t>HISTOGRAM</t>
  </si>
  <si>
    <t>Returns a two-column array, with the unique nonempty elements of a range and how often they appear</t>
  </si>
  <si>
    <t>dog</t>
  </si>
  <si>
    <t>horse</t>
  </si>
  <si>
    <t>Data Tables</t>
  </si>
  <si>
    <t>Output</t>
  </si>
  <si>
    <t>Data tables are big, so it's been automatically constrained to the first 4 rows and columns</t>
  </si>
  <si>
    <t>PERIODIC_TABLE</t>
  </si>
  <si>
    <t>Makes a grid of periodic table abbreviations</t>
  </si>
  <si>
    <t>Full: 10 rows, 18 columns (One space between Period 7 and Lanthanides/Actinides)</t>
  </si>
  <si>
    <t>Li</t>
  </si>
  <si>
    <t>Be</t>
  </si>
  <si>
    <t>Na</t>
  </si>
  <si>
    <t>Mg</t>
  </si>
  <si>
    <t>K</t>
  </si>
  <si>
    <t>Ca</t>
  </si>
  <si>
    <t>Sc</t>
  </si>
  <si>
    <t>Ti</t>
  </si>
  <si>
    <t>ELEMENT_LIST</t>
  </si>
  <si>
    <t>H</t>
  </si>
  <si>
    <t>Hydrogen</t>
  </si>
  <si>
    <t>Full: 118 rows, 4 columns</t>
  </si>
  <si>
    <t>He</t>
  </si>
  <si>
    <t>Helium</t>
  </si>
  <si>
    <t>Lithium</t>
  </si>
  <si>
    <t>Beryllium</t>
  </si>
  <si>
    <t>NATO_ALPHABET</t>
  </si>
  <si>
    <t>26 items</t>
  </si>
  <si>
    <t>fell down the stairs</t>
  </si>
  <si>
    <t>GASHLYCRUMB_ALPHABET</t>
  </si>
  <si>
    <t>26 items, includes death causes so 2 columns.</t>
  </si>
  <si>
    <t>Bravo</t>
  </si>
  <si>
    <t>Basil</t>
  </si>
  <si>
    <t>assaulted by bears</t>
  </si>
  <si>
    <t>Burglar</t>
  </si>
  <si>
    <t>beta</t>
  </si>
  <si>
    <t>KINSEY_MILLHONE_ALPHABET</t>
  </si>
  <si>
    <t>25 items (Z never happened)</t>
  </si>
  <si>
    <t>Charlie</t>
  </si>
  <si>
    <t>Clara</t>
  </si>
  <si>
    <t>wasted away</t>
  </si>
  <si>
    <t>Corpse</t>
  </si>
  <si>
    <t>gamma</t>
  </si>
  <si>
    <t>GREEK_ALPHABET</t>
  </si>
  <si>
    <t>24 items</t>
  </si>
  <si>
    <t>Delta</t>
  </si>
  <si>
    <t>Desmond</t>
  </si>
  <si>
    <t>thrown out of a sleigh</t>
  </si>
  <si>
    <t>Deadbeat</t>
  </si>
  <si>
    <t>delta</t>
  </si>
  <si>
    <r>
      <rPr>
        <rFont val="Arial"/>
        <b/>
        <color theme="1"/>
        <u/>
      </rPr>
      <t>Utility functions</t>
    </r>
    <r>
      <rPr>
        <rFont val="Arial"/>
        <b val="0"/>
        <color theme="1"/>
        <u/>
      </rPr>
      <t xml:space="preserve"> </t>
    </r>
    <r>
      <rPr>
        <rFont val="Arial"/>
        <b val="0"/>
        <i/>
        <color theme="1"/>
        <u/>
      </rPr>
      <t>(Unlikely to be helpful for general purpose puzzlehunting.)</t>
    </r>
  </si>
  <si>
    <t>Output (highlighted in yellow)</t>
  </si>
  <si>
    <t>REGEX_NTH_LETTER</t>
  </si>
  <si>
    <t>Constructs a regular expression that filters only strings with a given nth letter (multiples allowed)</t>
  </si>
  <si>
    <t>R</t>
  </si>
  <si>
    <t>Misc</t>
  </si>
  <si>
    <t>COLORHEX</t>
  </si>
  <si>
    <t>Displays a hex code (with no #)</t>
  </si>
  <si>
    <t>0ec0ec</t>
  </si>
  <si>
    <t>COLORRGB</t>
  </si>
  <si>
    <t>Displays a color in r,g,b format</t>
  </si>
  <si>
    <t>Useful functions (in my opinion) from SoftFro's list</t>
  </si>
  <si>
    <r>
      <rPr>
        <rFont val="Arial"/>
      </rPr>
      <t xml:space="preserve">See documentation here: </t>
    </r>
    <r>
      <rPr>
        <rFont val="Arial"/>
        <color rgb="FF1155CC"/>
        <u/>
      </rPr>
      <t>https://docs.google.com/spreadsheets/d/1mTVD0KtjbU6-wp1mvYU_abrjdCmnP9focRa1qp36rrY/edit?gid=320864130#gid=320864130</t>
    </r>
  </si>
  <si>
    <t>REVERSE</t>
  </si>
  <si>
    <t>CAESAR</t>
  </si>
  <si>
    <t>VIGENERE</t>
  </si>
  <si>
    <t>A1Z26</t>
  </si>
  <si>
    <t>MORSE_TO</t>
  </si>
  <si>
    <t>MORSE_FROM</t>
  </si>
  <si>
    <t>EIGENLETTER</t>
  </si>
  <si>
    <t>PERIODIC</t>
  </si>
  <si>
    <t>ATOMIC</t>
  </si>
  <si>
    <t>SCRABBLE</t>
  </si>
  <si>
    <t>DIAGONAL_LETTERS</t>
  </si>
  <si>
    <t>SORT_BY_LENGTH</t>
  </si>
  <si>
    <t>ALPHABET</t>
  </si>
  <si>
    <t>SHARPEN</t>
  </si>
  <si>
    <t>Advanced functions but has niche uses</t>
  </si>
  <si>
    <t>NUMBERED_GRID</t>
  </si>
  <si>
    <t>CYCLIC_ORDER</t>
  </si>
  <si>
    <t>MAKE_CROSSWORD</t>
  </si>
  <si>
    <t>Functions made obsolete</t>
  </si>
  <si>
    <t>ANSWERIZE</t>
  </si>
  <si>
    <t>Added ANS as an equivalent alias.</t>
  </si>
  <si>
    <t>INDEX_INTO</t>
  </si>
  <si>
    <t>Use I instead.</t>
  </si>
  <si>
    <t>WOF</t>
  </si>
  <si>
    <t>Use NUTRI instead.</t>
  </si>
  <si>
    <t>BINARY_WOF</t>
  </si>
  <si>
    <t>Use AMBIG_BINARY instead. (It does everything BINARY_WOF can, but can also process single cells with 0's, 1's, and ?'s)</t>
  </si>
  <si>
    <t>Probably indices or enumerations</t>
  </si>
  <si>
    <t>Troy and Abed in a puzzle (CMU F24)</t>
  </si>
  <si>
    <t>https://puzzlehunt.club.cc.cmu.edu/puzzle/27013/</t>
  </si>
  <si>
    <t>=CLUE_FORMATTER(UNBLANK(A4:A22),"…in which ~ (#)")</t>
  </si>
  <si>
    <t>UNBLANK to remove blank rows.</t>
  </si>
  <si>
    <t>Pattern string removes the shared ...in which, and extracts out the number in each parenthesis.</t>
  </si>
  <si>
    <t>…in which one falls victim to the other’s cartoon tunnel prank (16)</t>
  </si>
  <si>
    <t>they have Star-Burns and a turtle named Shelly on their eponymous talk show</t>
  </si>
  <si>
    <t>Often, "~ (#)" is sufficient to get the enums.</t>
  </si>
  <si>
    <t>…in which they have Star-Burns and a turtle named Shelly on their eponymous talk show (2)</t>
  </si>
  <si>
    <t>they create a story one word at a time</t>
  </si>
  <si>
    <t>they dine and dash at a fancy restaurant</t>
  </si>
  <si>
    <t>…in which they create a story one word at a time (7)</t>
  </si>
  <si>
    <t>they debut the nighttime version of their eponymous talk show</t>
  </si>
  <si>
    <t>they find a baby in the study room</t>
  </si>
  <si>
    <t>…in which they dine and dash at a fancy restaurant (1)</t>
  </si>
  <si>
    <t>they run a charity drive for Greendale TV</t>
  </si>
  <si>
    <t>they film a remake of Kickpuncher</t>
  </si>
  <si>
    <t>…in which they debut the nighttime version of their eponymous talk show (13)</t>
  </si>
  <si>
    <t>they rap about nonsense in a foreign language</t>
  </si>
  <si>
    <t>their eponymous talk show first appears</t>
  </si>
  <si>
    <t>…in which they find a baby in the study room (7)</t>
  </si>
  <si>
    <t>…in which they run a charity drive for Greendale TV (5)</t>
  </si>
  <si>
    <t>…in which they film a remake of Kickpuncher (5)</t>
  </si>
  <si>
    <t>…in which they rap about nonsense in a foreign language (3)</t>
  </si>
  <si>
    <t>…in which their eponymous talk show first appears (4)</t>
  </si>
  <si>
    <t>Numbered clues</t>
  </si>
  <si>
    <t>=CLUE_FORMATTER(A26:A72,"#. ~")</t>
  </si>
  <si>
    <t>Dungeon Crawler (ECPH 2)</t>
  </si>
  <si>
    <t>https://ecph.site/puzzle/dungeon-crawler</t>
  </si>
  <si>
    <t>Across</t>
  </si>
  <si>
    <t>1. German city</t>
  </si>
  <si>
    <t>German city</t>
  </si>
  <si>
    <t>6. Combat sport org.</t>
  </si>
  <si>
    <t>Combat sport org.</t>
  </si>
  <si>
    <t>9. Premium Discord feature</t>
  </si>
  <si>
    <t>Premium Discord feature</t>
  </si>
  <si>
    <t>10. ___ Jacobs (fashion designer)</t>
  </si>
  <si>
    <t>___ Jacobs (fashion designer)</t>
  </si>
  <si>
    <t>12. Trick counterpart</t>
  </si>
  <si>
    <t>Trick counterpart</t>
  </si>
  <si>
    <t>13. Old-timey marketplace</t>
  </si>
  <si>
    <t>Old-timey marketplace</t>
  </si>
  <si>
    <t>15. Come to them to turn wiser</t>
  </si>
  <si>
    <t>Come to them to turn wiser</t>
  </si>
  <si>
    <t>17. Speed scales, for short</t>
  </si>
  <si>
    <t>Speed scales, for short</t>
  </si>
  <si>
    <t>18. Quality associated with villains</t>
  </si>
  <si>
    <t>Quality associated with villains</t>
  </si>
  <si>
    <t>20. Instrument that plays HI notes?</t>
  </si>
  <si>
    <t>Instrument that plays HI notes?</t>
  </si>
  <si>
    <t>23. Prefix for sphere or skeleton</t>
  </si>
  <si>
    <t>Prefix for sphere or skeleton</t>
  </si>
  <si>
    <t>24. Tax ID no.</t>
  </si>
  <si>
    <t>Tax ID no.</t>
  </si>
  <si>
    <t>25. A fascinating scene contains a couple of these</t>
  </si>
  <si>
    <t>A fascinating scene contains a couple of these</t>
  </si>
  <si>
    <t>28. Farm females</t>
  </si>
  <si>
    <t>Farm females</t>
  </si>
  <si>
    <t>29. Spiky desert plants</t>
  </si>
  <si>
    <t>Spiky desert plants</t>
  </si>
  <si>
    <t>33. Compare to</t>
  </si>
  <si>
    <t>Compare to</t>
  </si>
  <si>
    <t>35. Chef El-Waylly</t>
  </si>
  <si>
    <t>Chef El-Waylly</t>
  </si>
  <si>
    <t>36. Actress Ward</t>
  </si>
  <si>
    <t>Actress Ward</t>
  </si>
  <si>
    <t>37. Fools</t>
  </si>
  <si>
    <t>Fools</t>
  </si>
  <si>
    <t>38. The second word many people say on Jan. 1st</t>
  </si>
  <si>
    <t>The second word many people say on Jan. 1st</t>
  </si>
  <si>
    <t>39. Use a katana, perhaps</t>
  </si>
  <si>
    <t>Use a katana, perhaps</t>
  </si>
  <si>
    <t>Down</t>
  </si>
  <si>
    <t>1. Certain Tolkien characters</t>
  </si>
  <si>
    <t>Certain Tolkien characters</t>
  </si>
  <si>
    <t>2. To father, as an animal</t>
  </si>
  <si>
    <t>To father, as an animal</t>
  </si>
  <si>
    <t>3. British gun used in WW2</t>
  </si>
  <si>
    <t>British gun used in WW2</t>
  </si>
  <si>
    <t>4. Use a rubber</t>
  </si>
  <si>
    <t>Use a rubber</t>
  </si>
  <si>
    <t>5. Unbalanced</t>
  </si>
  <si>
    <t>Unbalanced</t>
  </si>
  <si>
    <t>6. .wav alternative</t>
  </si>
  <si>
    <t>.wav alternative</t>
  </si>
  <si>
    <t>7. Classic child's toy, often in red</t>
  </si>
  <si>
    <t>Classic child's toy, often in red</t>
  </si>
  <si>
    <t>8. Breaks down</t>
  </si>
  <si>
    <t>Breaks down</t>
  </si>
  <si>
    <t>11. Shape that marks your starting location</t>
  </si>
  <si>
    <t>Shape that marks your starting location</t>
  </si>
  <si>
    <t>14. One of the As in NASCAR, briefly</t>
  </si>
  <si>
    <t>One of the As in NASCAR, briefly</t>
  </si>
  <si>
    <t>16. Number base used since ancient times</t>
  </si>
  <si>
    <t>Number base used since ancient times</t>
  </si>
  <si>
    <t>19. Plague pests</t>
  </si>
  <si>
    <t>Plague pests</t>
  </si>
  <si>
    <t>20. Manual target</t>
  </si>
  <si>
    <t>Manual target</t>
  </si>
  <si>
    <t>21. Birds that lay enormous eggs compared to their body size</t>
  </si>
  <si>
    <t>Birds that lay enormous eggs compared to their body size</t>
  </si>
  <si>
    <t>22. Stranger Things character</t>
  </si>
  <si>
    <t>Stranger Things character</t>
  </si>
  <si>
    <t>26. Something that happens on Shopify</t>
  </si>
  <si>
    <t>Something that happens on Shopify</t>
  </si>
  <si>
    <t>27. Mean look</t>
  </si>
  <si>
    <t>Mean look</t>
  </si>
  <si>
    <t>30. Relatively low-maintenance type of pet</t>
  </si>
  <si>
    <t>Relatively low-maintenance type of pet</t>
  </si>
  <si>
    <t>31. Accounts for surreptitious Reddit posts, perhaps</t>
  </si>
  <si>
    <t>Accounts for surreptitious Reddit posts, perhaps</t>
  </si>
  <si>
    <t>32. Pageant prize</t>
  </si>
  <si>
    <t>Pageant prize</t>
  </si>
  <si>
    <t>34. Martial ___</t>
  </si>
  <si>
    <t>Martial ___</t>
  </si>
  <si>
    <t>Another example</t>
  </si>
  <si>
    <t>GPH 2018 o ea / Wrd Srch</t>
  </si>
  <si>
    <t>https://2018.galacticpuzzlehunt.com/puzzle/o-ea-wrd-srch.html</t>
  </si>
  <si>
    <t>=CLUE_FORMATTER(UNBLANK(A75:A107),"~ (#)")</t>
  </si>
  <si>
    <t>Demonstration that ()'s not at the end are not captured.</t>
  </si>
  <si>
    <t>Auo ae o Ea (6)</t>
  </si>
  <si>
    <t>ou Aia ou uoue Iia</t>
  </si>
  <si>
    <t>ou Aia ou uoue Iia (10)</t>
  </si>
  <si>
    <t>Ie a a o aua 1 a e o eee 31</t>
  </si>
  <si>
    <t>Iae o a Aeia Ee ei a</t>
  </si>
  <si>
    <t>Ie a a o aua 1 a e o eee 31 (8)</t>
  </si>
  <si>
    <t>Euoea o ioee Aeia i 1492</t>
  </si>
  <si>
    <t>aae ae a oao o O, i e ia o O</t>
  </si>
  <si>
    <t>Iae o a Aeia Ee ei a (9)</t>
  </si>
  <si>
    <t>Oae, ae, ieae, aaa, aaa, a oaoe</t>
  </si>
  <si>
    <t>Ui o e eua o 1/8 ie o 1/5 ioee</t>
  </si>
  <si>
    <t>Euoea o ioee Aeia i 1492 (8)</t>
  </si>
  <si>
    <t>ii o e euee oe, o, ee, ou, ie, i, …</t>
  </si>
  <si>
    <t>Ae, ie a A-15 i .223 eio auiio</t>
  </si>
  <si>
    <t>aae ae a oao o O, i e ia o O (7)</t>
  </si>
  <si>
    <t>eao o e io 10 oeai e (a ao oeio o aoe ae)</t>
  </si>
  <si>
    <t>o ooaooeia</t>
  </si>
  <si>
    <t>Oae, ae, ieae, aaa, aaa, a oaoe (6)</t>
  </si>
  <si>
    <t>Iuoiae, ie oe ae 13-19</t>
  </si>
  <si>
    <t>a eu, Ea, uie, a Uau oi</t>
  </si>
  <si>
    <t>Ui o e eua o 1/8 ie o 1/5 ioee (7)</t>
  </si>
  <si>
    <t>Ai ao o “eae” (2008), “ae I O” (2014), a “…ea o I” (2017)</t>
  </si>
  <si>
    <t>eio eee 23.5° a 23.5° o e Euao, i “e”</t>
  </si>
  <si>
    <t>ii o e euee oe, o, ee, ou, ie, i, … (8)</t>
  </si>
  <si>
    <t>E.. aei uoe ou a Aea 51</t>
  </si>
  <si>
    <t>Ae, ie a A-15 i .223 eio auiio (6)</t>
  </si>
  <si>
    <t>eao o e io 10 oeai e (a ao oeio o aoe ae) (9)</t>
  </si>
  <si>
    <t>o ooaooeia (3)</t>
  </si>
  <si>
    <t>Iuoiae, ie oe ae 13-19 (10)</t>
  </si>
  <si>
    <t>a eu, Ea, uie, a Uau oi (3)</t>
  </si>
  <si>
    <t>Ai ao o “eae” (2008), “ae I O” (2014), a “…ea o I?” (2017) (5)</t>
  </si>
  <si>
    <t>eio eee 23.5° a 23.5° o e Euao, i “e” (7)</t>
  </si>
  <si>
    <t>E.. aei uoe ou a Aea 51 (3)</t>
  </si>
  <si>
    <t>More complex</t>
  </si>
  <si>
    <t>CMU Spring 2024, DIY round</t>
  </si>
  <si>
    <t>https://puzzlehunt.club.cc.cmu.edu/media/hunt/25/diy/instruction_manual.html</t>
  </si>
  <si>
    <t>=CLUE_FORMATTER(A110:A120,"#. (# characters, # words), [#]")</t>
  </si>
  <si>
    <t>And boom, all of the numbers are extracted.</t>
  </si>
  <si>
    <t>1. (17 characters, 5 words), [1]</t>
  </si>
  <si>
    <t>2. (15 characters, 4 words), [4]</t>
  </si>
  <si>
    <t>3. (20 characters, 3 words), [4]</t>
  </si>
  <si>
    <t>4. (18 characters, 5 words), [6]</t>
  </si>
  <si>
    <t>5. (16 characters, 4 words), [2]</t>
  </si>
  <si>
    <t>6. ?</t>
  </si>
  <si>
    <t>7. (12 characters, 3 words), [2]</t>
  </si>
  <si>
    <t>8. (29 characters, 8 words), [2]</t>
  </si>
  <si>
    <t>9. (26 characters, 5 words), [3]</t>
  </si>
  <si>
    <t>10. (28 characters, 7 words), [5]</t>
  </si>
  <si>
    <t>11. (19 characters, 7 words), [1]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</si>
</sst>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color theme="1"/>
      <name val="Fira Mono"/>
    </font>
    <font>
      <u/>
      <color rgb="FF0000FF"/>
      <name val="Arial"/>
    </font>
    <font>
      <sz val="10.0"/>
      <color theme="1"/>
      <name val="Arial"/>
    </font>
    <font>
      <u/>
      <color rgb="FF1155CC"/>
      <name val="Arial"/>
    </font>
    <font>
      <u/>
      <sz val="10.0"/>
      <color rgb="FF0000FF"/>
      <name val="Arial"/>
    </font>
    <font>
      <u/>
      <color rgb="FF1155CC"/>
      <name val="Arial"/>
    </font>
    <font>
      <u/>
      <sz val="10.0"/>
      <color rgb="FF1155CC"/>
      <name val="Arial"/>
    </font>
    <font>
      <u/>
      <color rgb="FF0000FF"/>
    </font>
    <font>
      <color theme="1"/>
      <name val="Consolas"/>
    </font>
    <font>
      <b/>
      <u/>
      <color theme="1"/>
      <name val="Arial"/>
    </font>
    <font>
      <b/>
      <color theme="1"/>
      <name val="Arial"/>
    </font>
    <font>
      <color theme="1"/>
      <name val="Roboto Mono"/>
    </font>
    <font>
      <i/>
      <color theme="1"/>
      <name val="Arial"/>
    </font>
    <font>
      <u/>
      <color rgb="FF0000FF"/>
      <name val="Arial"/>
    </font>
    <font>
      <b/>
      <u/>
      <color theme="1"/>
      <name val="Arial"/>
    </font>
    <font>
      <u/>
      <color rgb="FF1155CC"/>
      <name val="Arial"/>
    </font>
    <font>
      <u/>
      <color rgb="FF1155CC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u/>
      <color rgb="FF0000FF"/>
      <name val="Arial"/>
    </font>
    <font>
      <color theme="1"/>
      <name val="Droid Sans Mono"/>
    </font>
    <font>
      <sz val="11.0"/>
      <color rgb="FF333333"/>
      <name val="Verdana"/>
    </font>
    <font>
      <i/>
      <sz val="11.0"/>
      <color rgb="FF333333"/>
      <name val="Verdana"/>
    </font>
    <font>
      <b/>
      <sz val="14.0"/>
      <color rgb="FFECECEC"/>
      <name val="Playfair"/>
    </font>
    <font>
      <b/>
      <sz val="14.0"/>
      <color rgb="FFECECEC"/>
      <name val="Times New Roman"/>
    </font>
    <font>
      <i/>
      <color rgb="FF0C0906"/>
      <name val="Merriweather"/>
    </font>
    <font>
      <color rgb="FF0C0906"/>
      <name val="Merriweather"/>
    </font>
    <font>
      <sz val="11.0"/>
      <color theme="1"/>
      <name val="Verdana"/>
    </font>
  </fonts>
  <fills count="14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F9CB9C"/>
        <bgColor rgb="FFF9CB9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202020"/>
        <bgColor rgb="FF202020"/>
      </patternFill>
    </fill>
    <fill>
      <patternFill patternType="solid">
        <fgColor rgb="FFEDECE8"/>
        <bgColor rgb="FFEDECE8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Font="1"/>
    <xf borderId="0" fillId="3" fontId="1" numFmtId="0" xfId="0" applyAlignment="1" applyFill="1" applyFont="1">
      <alignment readingOrder="0"/>
    </xf>
    <xf borderId="0" fillId="3" fontId="2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quotePrefix="1"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vertical="center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3" numFmtId="0" xfId="0" applyFont="1"/>
    <xf borderId="0" fillId="0" fontId="3" numFmtId="0" xfId="0" applyAlignment="1" applyFont="1">
      <alignment horizontal="center"/>
    </xf>
    <xf borderId="0" fillId="0" fontId="3" numFmtId="0" xfId="0" applyFont="1"/>
    <xf borderId="0" fillId="0" fontId="7" numFmtId="0" xfId="0" applyFont="1"/>
    <xf borderId="0" fillId="0" fontId="4" numFmtId="0" xfId="0" applyFont="1"/>
    <xf borderId="0" fillId="0" fontId="2" numFmtId="0" xfId="0" applyAlignment="1" applyFont="1">
      <alignment shrinkToFit="0" wrapText="1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8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center" vertical="bottom"/>
    </xf>
    <xf borderId="0" fillId="0" fontId="3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12" numFmtId="0" xfId="0" applyAlignment="1" applyFont="1">
      <alignment shrinkToFit="0" wrapText="1"/>
    </xf>
    <xf borderId="0" fillId="4" fontId="13" numFmtId="0" xfId="0" applyAlignment="1" applyFill="1" applyFont="1">
      <alignment vertical="bottom"/>
    </xf>
    <xf borderId="0" fillId="4" fontId="3" numFmtId="0" xfId="0" applyAlignment="1" applyFont="1">
      <alignment vertical="bottom"/>
    </xf>
    <xf borderId="0" fillId="4" fontId="14" numFmtId="0" xfId="0" applyAlignment="1" applyFont="1">
      <alignment vertical="bottom"/>
    </xf>
    <xf borderId="0" fillId="4" fontId="14" numFmtId="0" xfId="0" applyAlignment="1" applyFont="1">
      <alignment shrinkToFit="0" vertical="bottom" wrapText="1"/>
    </xf>
    <xf borderId="0" fillId="0" fontId="15" numFmtId="0" xfId="0" applyAlignment="1" applyFont="1">
      <alignment vertical="bottom"/>
    </xf>
    <xf borderId="0" fillId="0" fontId="3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5" numFmtId="0" xfId="0" applyAlignment="1" applyFont="1">
      <alignment readingOrder="0" vertical="bottom"/>
    </xf>
    <xf borderId="0" fillId="0" fontId="3" numFmtId="0" xfId="0" applyAlignment="1" applyFont="1">
      <alignment readingOrder="0" shrinkToFit="0" vertical="bottom" wrapText="1"/>
    </xf>
    <xf borderId="0" fillId="2" fontId="3" numFmtId="0" xfId="0" applyAlignment="1" applyFont="1">
      <alignment readingOrder="0" vertical="bottom"/>
    </xf>
    <xf borderId="0" fillId="5" fontId="14" numFmtId="0" xfId="0" applyAlignment="1" applyFill="1" applyFont="1">
      <alignment vertical="bottom"/>
    </xf>
    <xf borderId="0" fillId="5" fontId="3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0" fontId="16" numFmtId="0" xfId="0" applyAlignment="1" applyFont="1">
      <alignment shrinkToFit="0" vertical="bottom" wrapText="1"/>
    </xf>
    <xf borderId="0" fillId="0" fontId="17" numFmtId="0" xfId="0" applyAlignment="1" applyFont="1">
      <alignment shrinkToFit="0" vertical="bottom" wrapText="1"/>
    </xf>
    <xf borderId="0" fillId="2" fontId="3" numFmtId="0" xfId="0" applyAlignment="1" applyFont="1">
      <alignment horizontal="right" vertical="bottom"/>
    </xf>
    <xf borderId="0" fillId="0" fontId="3" numFmtId="0" xfId="0" applyAlignment="1" applyFont="1">
      <alignment horizontal="center" vertical="bottom"/>
    </xf>
    <xf borderId="0" fillId="0" fontId="14" numFmtId="0" xfId="0" applyAlignment="1" applyFont="1">
      <alignment shrinkToFit="0" vertical="bottom" wrapText="1"/>
    </xf>
    <xf borderId="0" fillId="6" fontId="18" numFmtId="0" xfId="0" applyAlignment="1" applyFill="1" applyFont="1">
      <alignment vertical="bottom"/>
    </xf>
    <xf borderId="0" fillId="6" fontId="3" numFmtId="0" xfId="0" applyAlignment="1" applyFont="1">
      <alignment vertical="bottom"/>
    </xf>
    <xf borderId="0" fillId="6" fontId="14" numFmtId="0" xfId="0" applyAlignment="1" applyFont="1">
      <alignment vertical="bottom"/>
    </xf>
    <xf borderId="0" fillId="6" fontId="14" numFmtId="0" xfId="0" applyAlignment="1" applyFont="1">
      <alignment shrinkToFit="0" vertical="bottom" wrapText="1"/>
    </xf>
    <xf borderId="0" fillId="7" fontId="15" numFmtId="0" xfId="0" applyAlignment="1" applyFill="1" applyFont="1">
      <alignment vertical="bottom"/>
    </xf>
    <xf borderId="0" fillId="7" fontId="3" numFmtId="0" xfId="0" applyAlignment="1" applyFont="1">
      <alignment shrinkToFit="0" vertical="bottom" wrapText="1"/>
    </xf>
    <xf borderId="0" fillId="7" fontId="3" numFmtId="0" xfId="0" applyAlignment="1" applyFont="1">
      <alignment vertical="bottom"/>
    </xf>
    <xf borderId="2" fillId="0" fontId="3" numFmtId="0" xfId="0" applyAlignment="1" applyBorder="1" applyFont="1">
      <alignment horizontal="right" vertical="bottom"/>
    </xf>
    <xf borderId="3" fillId="0" fontId="3" numFmtId="0" xfId="0" applyAlignment="1" applyBorder="1" applyFont="1">
      <alignment vertical="bottom"/>
    </xf>
    <xf borderId="3" fillId="0" fontId="3" numFmtId="0" xfId="0" applyAlignment="1" applyBorder="1" applyFont="1">
      <alignment horizontal="right" vertical="bottom"/>
    </xf>
    <xf borderId="4" fillId="0" fontId="3" numFmtId="0" xfId="0" applyAlignment="1" applyBorder="1" applyFont="1">
      <alignment vertical="bottom"/>
    </xf>
    <xf borderId="5" fillId="0" fontId="3" numFmtId="0" xfId="0" applyAlignment="1" applyBorder="1" applyFont="1">
      <alignment horizontal="right" vertical="bottom"/>
    </xf>
    <xf borderId="6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8" fillId="0" fontId="3" numFmtId="0" xfId="0" applyAlignment="1" applyBorder="1" applyFont="1">
      <alignment horizontal="right" vertical="bottom"/>
    </xf>
    <xf borderId="9" fillId="0" fontId="3" numFmtId="0" xfId="0" applyAlignment="1" applyBorder="1" applyFont="1">
      <alignment vertical="bottom"/>
    </xf>
    <xf borderId="10" fillId="0" fontId="3" numFmtId="0" xfId="0" applyAlignment="1" applyBorder="1" applyFont="1">
      <alignment vertical="bottom"/>
    </xf>
    <xf borderId="11" fillId="0" fontId="3" numFmtId="0" xfId="0" applyAlignment="1" applyBorder="1" applyFont="1">
      <alignment vertical="bottom"/>
    </xf>
    <xf borderId="8" fillId="0" fontId="3" numFmtId="0" xfId="0" applyAlignment="1" applyBorder="1" applyFont="1">
      <alignment vertical="bottom"/>
    </xf>
    <xf borderId="12" fillId="0" fontId="3" numFmtId="0" xfId="0" applyAlignment="1" applyBorder="1" applyFont="1">
      <alignment horizontal="right" vertical="bottom"/>
    </xf>
    <xf borderId="0" fillId="8" fontId="15" numFmtId="0" xfId="0" applyAlignment="1" applyFill="1" applyFont="1">
      <alignment vertical="bottom"/>
    </xf>
    <xf borderId="0" fillId="8" fontId="3" numFmtId="0" xfId="0" applyAlignment="1" applyFont="1">
      <alignment shrinkToFit="0" vertical="bottom" wrapText="1"/>
    </xf>
    <xf borderId="4" fillId="0" fontId="3" numFmtId="0" xfId="0" applyAlignment="1" applyBorder="1" applyFont="1">
      <alignment horizontal="right" vertical="bottom"/>
    </xf>
    <xf borderId="13" fillId="0" fontId="19" numFmtId="0" xfId="0" applyAlignment="1" applyBorder="1" applyFont="1">
      <alignment vertical="bottom"/>
    </xf>
    <xf borderId="14" fillId="0" fontId="3" numFmtId="0" xfId="0" applyAlignment="1" applyBorder="1" applyFont="1">
      <alignment vertical="bottom"/>
    </xf>
    <xf borderId="15" fillId="0" fontId="3" numFmtId="0" xfId="0" applyAlignment="1" applyBorder="1" applyFont="1">
      <alignment vertical="bottom"/>
    </xf>
    <xf borderId="13" fillId="0" fontId="3" numFmtId="0" xfId="0" applyAlignment="1" applyBorder="1" applyFont="1">
      <alignment vertical="bottom"/>
    </xf>
    <xf borderId="0" fillId="0" fontId="20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5" fillId="0" fontId="3" numFmtId="0" xfId="0" applyAlignment="1" applyBorder="1" applyFont="1">
      <alignment vertical="bottom"/>
    </xf>
    <xf borderId="6" fillId="0" fontId="3" numFmtId="0" xfId="0" applyAlignment="1" applyBorder="1" applyFont="1">
      <alignment horizontal="right" vertical="bottom"/>
    </xf>
    <xf borderId="9" fillId="0" fontId="3" numFmtId="0" xfId="0" applyAlignment="1" applyBorder="1" applyFont="1">
      <alignment horizontal="right" vertical="bottom"/>
    </xf>
    <xf borderId="0" fillId="9" fontId="21" numFmtId="0" xfId="0" applyAlignment="1" applyFill="1" applyFont="1">
      <alignment vertical="bottom"/>
    </xf>
    <xf borderId="0" fillId="9" fontId="3" numFmtId="0" xfId="0" applyAlignment="1" applyFont="1">
      <alignment vertical="bottom"/>
    </xf>
    <xf borderId="0" fillId="9" fontId="14" numFmtId="0" xfId="0" applyAlignment="1" applyFont="1">
      <alignment vertical="bottom"/>
    </xf>
    <xf borderId="0" fillId="9" fontId="14" numFmtId="0" xfId="0" applyAlignment="1" applyFont="1">
      <alignment shrinkToFit="0" vertical="bottom" wrapText="1"/>
    </xf>
    <xf borderId="13" fillId="0" fontId="3" numFmtId="0" xfId="0" applyAlignment="1" applyBorder="1" applyFont="1">
      <alignment horizontal="right" vertical="bottom"/>
    </xf>
    <xf borderId="14" fillId="0" fontId="3" numFmtId="0" xfId="0" applyAlignment="1" applyBorder="1" applyFont="1">
      <alignment horizontal="right" vertical="bottom"/>
    </xf>
    <xf borderId="14" fillId="0" fontId="3" numFmtId="0" xfId="0" applyAlignment="1" applyBorder="1" applyFont="1">
      <alignment readingOrder="0" vertical="bottom"/>
    </xf>
    <xf borderId="0" fillId="0" fontId="3" numFmtId="0" xfId="0" applyAlignment="1" applyFont="1">
      <alignment horizontal="center" readingOrder="0" vertical="bottom"/>
    </xf>
    <xf borderId="0" fillId="8" fontId="3" numFmtId="0" xfId="0" applyAlignment="1" applyFont="1">
      <alignment vertical="bottom"/>
    </xf>
    <xf borderId="0" fillId="0" fontId="16" numFmtId="0" xfId="0" applyAlignment="1" applyFont="1">
      <alignment vertical="bottom"/>
    </xf>
    <xf borderId="12" fillId="0" fontId="3" numFmtId="0" xfId="0" applyAlignment="1" applyBorder="1" applyFont="1">
      <alignment vertical="bottom"/>
    </xf>
    <xf borderId="5" fillId="0" fontId="3" numFmtId="0" xfId="0" applyAlignment="1" applyBorder="1" applyFont="1">
      <alignment readingOrder="0" vertical="bottom"/>
    </xf>
    <xf borderId="6" fillId="0" fontId="3" numFmtId="0" xfId="0" applyAlignment="1" applyBorder="1" applyFont="1">
      <alignment readingOrder="0" vertical="bottom"/>
    </xf>
    <xf borderId="7" fillId="0" fontId="3" numFmtId="0" xfId="0" applyAlignment="1" applyBorder="1" applyFont="1">
      <alignment readingOrder="0" vertical="bottom"/>
    </xf>
    <xf borderId="8" fillId="0" fontId="3" numFmtId="0" xfId="0" applyAlignment="1" applyBorder="1" applyFont="1">
      <alignment readingOrder="0" vertical="bottom"/>
    </xf>
    <xf borderId="9" fillId="0" fontId="3" numFmtId="0" xfId="0" applyAlignment="1" applyBorder="1" applyFont="1">
      <alignment readingOrder="0" vertical="bottom"/>
    </xf>
    <xf borderId="10" fillId="0" fontId="3" numFmtId="0" xfId="0" applyAlignment="1" applyBorder="1" applyFont="1">
      <alignment readingOrder="0" vertical="bottom"/>
    </xf>
    <xf borderId="0" fillId="10" fontId="22" numFmtId="0" xfId="0" applyAlignment="1" applyFill="1" applyFont="1">
      <alignment vertical="bottom"/>
    </xf>
    <xf borderId="0" fillId="10" fontId="3" numFmtId="0" xfId="0" applyAlignment="1" applyFont="1">
      <alignment vertical="bottom"/>
    </xf>
    <xf borderId="0" fillId="10" fontId="14" numFmtId="0" xfId="0" applyAlignment="1" applyFont="1">
      <alignment vertical="bottom"/>
    </xf>
    <xf borderId="0" fillId="10" fontId="14" numFmtId="0" xfId="0" applyAlignment="1" applyFont="1">
      <alignment shrinkToFit="0" vertical="bottom" wrapText="1"/>
    </xf>
    <xf borderId="7" fillId="0" fontId="3" numFmtId="0" xfId="0" applyAlignment="1" applyBorder="1" applyFont="1">
      <alignment horizontal="right" vertical="bottom"/>
    </xf>
    <xf borderId="10" fillId="0" fontId="3" numFmtId="0" xfId="0" applyAlignment="1" applyBorder="1" applyFont="1">
      <alignment horizontal="right" vertical="bottom"/>
    </xf>
    <xf borderId="0" fillId="3" fontId="23" numFmtId="0" xfId="0" applyAlignment="1" applyFont="1">
      <alignment readingOrder="0" vertical="bottom"/>
    </xf>
    <xf borderId="0" fillId="3" fontId="3" numFmtId="0" xfId="0" applyAlignment="1" applyFont="1">
      <alignment vertical="bottom"/>
    </xf>
    <xf borderId="0" fillId="3" fontId="14" numFmtId="0" xfId="0" applyAlignment="1" applyFont="1">
      <alignment vertical="bottom"/>
    </xf>
    <xf borderId="0" fillId="3" fontId="14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0" fillId="3" fontId="24" numFmtId="0" xfId="0" applyAlignment="1" applyFont="1">
      <alignment vertical="bottom"/>
    </xf>
    <xf borderId="0" fillId="0" fontId="25" numFmtId="0" xfId="0" applyAlignment="1" applyFont="1">
      <alignment vertical="bottom"/>
    </xf>
    <xf borderId="0" fillId="0" fontId="25" numFmtId="0" xfId="0" applyAlignment="1" applyFont="1">
      <alignment readingOrder="0" vertical="bottom"/>
    </xf>
    <xf borderId="0" fillId="0" fontId="14" numFmtId="0" xfId="0" applyAlignment="1" applyFont="1">
      <alignment vertical="bottom"/>
    </xf>
    <xf quotePrefix="1" borderId="0" fillId="2" fontId="3" numFmtId="0" xfId="0" applyAlignment="1" applyFont="1">
      <alignment vertical="bottom"/>
    </xf>
    <xf borderId="0" fillId="11" fontId="26" numFmtId="0" xfId="0" applyAlignment="1" applyFill="1" applyFont="1">
      <alignment vertical="bottom"/>
    </xf>
    <xf borderId="0" fillId="11" fontId="3" numFmtId="0" xfId="0" applyAlignment="1" applyFont="1">
      <alignment vertical="bottom"/>
    </xf>
    <xf borderId="0" fillId="11" fontId="27" numFmtId="0" xfId="0" applyAlignment="1" applyFont="1">
      <alignment vertical="bottom"/>
    </xf>
    <xf borderId="0" fillId="12" fontId="28" numFmtId="0" xfId="0" applyAlignment="1" applyFill="1" applyFont="1">
      <alignment vertical="bottom"/>
    </xf>
    <xf borderId="0" fillId="12" fontId="3" numFmtId="0" xfId="0" applyAlignment="1" applyFont="1">
      <alignment vertical="bottom"/>
    </xf>
    <xf borderId="0" fillId="12" fontId="29" numFmtId="0" xfId="0" applyAlignment="1" applyFont="1">
      <alignment vertical="bottom"/>
    </xf>
    <xf borderId="0" fillId="13" fontId="30" numFmtId="0" xfId="0" applyAlignment="1" applyFill="1" applyFont="1">
      <alignment vertical="bottom"/>
    </xf>
    <xf borderId="0" fillId="13" fontId="3" numFmtId="0" xfId="0" applyAlignment="1" applyFont="1">
      <alignment vertical="bottom"/>
    </xf>
    <xf borderId="0" fillId="13" fontId="31" numFmtId="0" xfId="0" applyAlignment="1" applyFont="1">
      <alignment vertical="bottom"/>
    </xf>
    <xf quotePrefix="1" borderId="0" fillId="3" fontId="3" numFmtId="0" xfId="0" applyAlignment="1" applyFont="1">
      <alignment vertical="bottom"/>
    </xf>
    <xf borderId="0" fillId="11" fontId="32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noq.solutions/" TargetMode="External"/><Relationship Id="rId10" Type="http://schemas.openxmlformats.org/officeDocument/2006/relationships/hyperlink" Target="https://github.com/dessant/search-by-image" TargetMode="External"/><Relationship Id="rId13" Type="http://schemas.openxmlformats.org/officeDocument/2006/relationships/hyperlink" Target="https://shapecatcher.com/" TargetMode="External"/><Relationship Id="rId12" Type="http://schemas.openxmlformats.org/officeDocument/2006/relationships/hyperlink" Target="https://flagid.org/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ocs.google.com/spreadsheets/d/1mTVD0KtjbU6-wp1mvYU_abrjdCmnP9focRa1qp36rrY/edit" TargetMode="External"/><Relationship Id="rId3" Type="http://schemas.openxmlformats.org/officeDocument/2006/relationships/hyperlink" Target="https://docs.google.com/spreadsheets/d/1Wswv2ulhXxkrGcAo3nwdslxjVL7065msGiRPbJOhfmk/edit" TargetMode="External"/><Relationship Id="rId4" Type="http://schemas.openxmlformats.org/officeDocument/2006/relationships/hyperlink" Target="https://www.puzzlehunt.net/tools" TargetMode="External"/><Relationship Id="rId9" Type="http://schemas.openxmlformats.org/officeDocument/2006/relationships/hyperlink" Target="https://www.quipqiup.com/" TargetMode="External"/><Relationship Id="rId15" Type="http://schemas.openxmlformats.org/officeDocument/2006/relationships/vmlDrawing" Target="../drawings/vmlDrawing1.vml"/><Relationship Id="rId14" Type="http://schemas.openxmlformats.org/officeDocument/2006/relationships/drawing" Target="../drawings/drawing5.xml"/><Relationship Id="rId5" Type="http://schemas.openxmlformats.org/officeDocument/2006/relationships/hyperlink" Target="https://nutrimatic.org/" TargetMode="External"/><Relationship Id="rId6" Type="http://schemas.openxmlformats.org/officeDocument/2006/relationships/hyperlink" Target="https://www.quinapalus.com/qat.html" TargetMode="External"/><Relationship Id="rId7" Type="http://schemas.openxmlformats.org/officeDocument/2006/relationships/hyperlink" Target="https://www.onelook.com/" TargetMode="External"/><Relationship Id="rId8" Type="http://schemas.openxmlformats.org/officeDocument/2006/relationships/hyperlink" Target="https://www.dcode.fr/en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support.google.com/docs/thread/202256966/how-can-you-have-an-ifprime-function-in-google-sheets?hl=en" TargetMode="External"/><Relationship Id="rId3" Type="http://schemas.openxmlformats.org/officeDocument/2006/relationships/hyperlink" Target="https://docs.google.com/spreadsheets/d/1mTVD0KtjbU6-wp1mvYU_abrjdCmnP9focRa1qp36rrY/edit?gid=320864130" TargetMode="External"/><Relationship Id="rId4" Type="http://schemas.openxmlformats.org/officeDocument/2006/relationships/drawing" Target="../drawings/drawing6.xml"/><Relationship Id="rId5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puzzlehunt.club.cc.cmu.edu/puzzle/27013/" TargetMode="External"/><Relationship Id="rId2" Type="http://schemas.openxmlformats.org/officeDocument/2006/relationships/hyperlink" Target="https://ecph.site/puzzle/dungeon-crawler" TargetMode="External"/><Relationship Id="rId3" Type="http://schemas.openxmlformats.org/officeDocument/2006/relationships/hyperlink" Target="https://2018.galacticpuzzlehunt.com/puzzle/o-ea-wrd-srch.html" TargetMode="External"/><Relationship Id="rId4" Type="http://schemas.openxmlformats.org/officeDocument/2006/relationships/hyperlink" Target="https://puzzlehunt.club.cc.cmu.edu/media/hunt/25/diy/instruction_manual.html" TargetMode="External"/><Relationship Id="rId5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.0"/>
  </cols>
  <sheetData>
    <row r="1">
      <c r="A1" s="1" t="s">
        <v>0</v>
      </c>
      <c r="B1" s="1" t="s">
        <v>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0" width="2.88"/>
  </cols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2" width="2.75"/>
  </cols>
  <sheetData>
    <row r="67">
      <c r="A67" s="3" t="s">
        <v>2</v>
      </c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</row>
  </sheetData>
  <mergeCells count="1732">
    <mergeCell ref="AC9:AD10"/>
    <mergeCell ref="AE9:AF10"/>
    <mergeCell ref="O9:P10"/>
    <mergeCell ref="Q9:R10"/>
    <mergeCell ref="S9:T10"/>
    <mergeCell ref="U9:V10"/>
    <mergeCell ref="W9:X10"/>
    <mergeCell ref="Y9:Z10"/>
    <mergeCell ref="AA9:AB10"/>
    <mergeCell ref="N11:O12"/>
    <mergeCell ref="P11:Q12"/>
    <mergeCell ref="R11:S12"/>
    <mergeCell ref="T11:U12"/>
    <mergeCell ref="V11:W12"/>
    <mergeCell ref="X11:Y12"/>
    <mergeCell ref="Z11:AA12"/>
    <mergeCell ref="AP11:AQ12"/>
    <mergeCell ref="AR11:AS12"/>
    <mergeCell ref="AT11:AU12"/>
    <mergeCell ref="AV11:AW12"/>
    <mergeCell ref="AX11:AY12"/>
    <mergeCell ref="AZ11:AZ12"/>
    <mergeCell ref="AY13:AZ14"/>
    <mergeCell ref="A11:A12"/>
    <mergeCell ref="B11:C12"/>
    <mergeCell ref="D11:E12"/>
    <mergeCell ref="F11:G12"/>
    <mergeCell ref="H11:I12"/>
    <mergeCell ref="J11:K12"/>
    <mergeCell ref="L11:M12"/>
    <mergeCell ref="A13:B14"/>
    <mergeCell ref="C13:D14"/>
    <mergeCell ref="E13:F14"/>
    <mergeCell ref="G13:H14"/>
    <mergeCell ref="I13:J14"/>
    <mergeCell ref="K13:L14"/>
    <mergeCell ref="M13:N14"/>
    <mergeCell ref="AB11:AC12"/>
    <mergeCell ref="AD11:AE12"/>
    <mergeCell ref="AF11:AG12"/>
    <mergeCell ref="AH11:AI12"/>
    <mergeCell ref="AJ11:AK12"/>
    <mergeCell ref="AL11:AM12"/>
    <mergeCell ref="AN11:AO12"/>
    <mergeCell ref="AU17:AV18"/>
    <mergeCell ref="AW17:AX18"/>
    <mergeCell ref="AG17:AH18"/>
    <mergeCell ref="AI17:AJ18"/>
    <mergeCell ref="AK17:AL18"/>
    <mergeCell ref="AM17:AN18"/>
    <mergeCell ref="AO17:AP18"/>
    <mergeCell ref="AQ17:AR18"/>
    <mergeCell ref="AS17:AT18"/>
    <mergeCell ref="AC13:AD14"/>
    <mergeCell ref="AE13:AF14"/>
    <mergeCell ref="O13:P14"/>
    <mergeCell ref="Q13:R14"/>
    <mergeCell ref="S13:T14"/>
    <mergeCell ref="U13:V14"/>
    <mergeCell ref="W13:X14"/>
    <mergeCell ref="Y13:Z14"/>
    <mergeCell ref="AA13:AB14"/>
    <mergeCell ref="N15:O16"/>
    <mergeCell ref="P15:Q16"/>
    <mergeCell ref="R15:S16"/>
    <mergeCell ref="T15:U16"/>
    <mergeCell ref="V15:W16"/>
    <mergeCell ref="X15:Y16"/>
    <mergeCell ref="Z15:AA16"/>
    <mergeCell ref="AP15:AQ16"/>
    <mergeCell ref="AR15:AS16"/>
    <mergeCell ref="AT15:AU16"/>
    <mergeCell ref="AV15:AW16"/>
    <mergeCell ref="AX15:AY16"/>
    <mergeCell ref="AZ15:AZ16"/>
    <mergeCell ref="AY17:AZ18"/>
    <mergeCell ref="A15:A16"/>
    <mergeCell ref="B15:C16"/>
    <mergeCell ref="D15:E16"/>
    <mergeCell ref="F15:G16"/>
    <mergeCell ref="H15:I16"/>
    <mergeCell ref="J15:K16"/>
    <mergeCell ref="L15:M16"/>
    <mergeCell ref="A17:B18"/>
    <mergeCell ref="C17:D18"/>
    <mergeCell ref="E17:F18"/>
    <mergeCell ref="G17:H18"/>
    <mergeCell ref="I17:J18"/>
    <mergeCell ref="K17:L18"/>
    <mergeCell ref="M17:N18"/>
    <mergeCell ref="AB15:AC16"/>
    <mergeCell ref="AD15:AE16"/>
    <mergeCell ref="AF15:AG16"/>
    <mergeCell ref="AH15:AI16"/>
    <mergeCell ref="AJ15:AK16"/>
    <mergeCell ref="AL15:AM16"/>
    <mergeCell ref="AN15:AO16"/>
    <mergeCell ref="N3:O4"/>
    <mergeCell ref="P3:Q4"/>
    <mergeCell ref="R3:S4"/>
    <mergeCell ref="T3:U4"/>
    <mergeCell ref="V3:W4"/>
    <mergeCell ref="X3:Y4"/>
    <mergeCell ref="Z3:AA4"/>
    <mergeCell ref="A3:A4"/>
    <mergeCell ref="B3:C4"/>
    <mergeCell ref="D3:E4"/>
    <mergeCell ref="F3:G4"/>
    <mergeCell ref="H3:I4"/>
    <mergeCell ref="J3:K4"/>
    <mergeCell ref="L3:M4"/>
    <mergeCell ref="AU5:AV6"/>
    <mergeCell ref="AW5:AX6"/>
    <mergeCell ref="AG5:AH6"/>
    <mergeCell ref="AI5:AJ6"/>
    <mergeCell ref="AK5:AL6"/>
    <mergeCell ref="AM5:AN6"/>
    <mergeCell ref="AO5:AP6"/>
    <mergeCell ref="AQ5:AR6"/>
    <mergeCell ref="AS5:AT6"/>
    <mergeCell ref="O1:P2"/>
    <mergeCell ref="Q1:R2"/>
    <mergeCell ref="S1:T2"/>
    <mergeCell ref="U1:V2"/>
    <mergeCell ref="W1:X2"/>
    <mergeCell ref="Y1:Z2"/>
    <mergeCell ref="AA1:AB2"/>
    <mergeCell ref="AQ1:AR2"/>
    <mergeCell ref="AS1:AT2"/>
    <mergeCell ref="AU1:AV2"/>
    <mergeCell ref="AW1:AX2"/>
    <mergeCell ref="AY1:AZ2"/>
    <mergeCell ref="AC1:AD2"/>
    <mergeCell ref="AE1:AF2"/>
    <mergeCell ref="AG1:AH2"/>
    <mergeCell ref="AI1:AJ2"/>
    <mergeCell ref="AK1:AL2"/>
    <mergeCell ref="AM1:AN2"/>
    <mergeCell ref="AO1:AP2"/>
    <mergeCell ref="A1:B2"/>
    <mergeCell ref="C1:D2"/>
    <mergeCell ref="E1:F2"/>
    <mergeCell ref="G1:H2"/>
    <mergeCell ref="I1:J2"/>
    <mergeCell ref="K1:L2"/>
    <mergeCell ref="M1:N2"/>
    <mergeCell ref="AP3:AQ4"/>
    <mergeCell ref="AR3:AS4"/>
    <mergeCell ref="AT3:AU4"/>
    <mergeCell ref="AV3:AW4"/>
    <mergeCell ref="AX3:AY4"/>
    <mergeCell ref="AZ3:AZ4"/>
    <mergeCell ref="AY5:AZ6"/>
    <mergeCell ref="A5:B6"/>
    <mergeCell ref="C5:D6"/>
    <mergeCell ref="E5:F6"/>
    <mergeCell ref="G5:H6"/>
    <mergeCell ref="I5:J6"/>
    <mergeCell ref="K5:L6"/>
    <mergeCell ref="M5:N6"/>
    <mergeCell ref="AB3:AC4"/>
    <mergeCell ref="AD3:AE4"/>
    <mergeCell ref="AF3:AG4"/>
    <mergeCell ref="AH3:AI4"/>
    <mergeCell ref="AJ3:AK4"/>
    <mergeCell ref="AL3:AM4"/>
    <mergeCell ref="AN3:AO4"/>
    <mergeCell ref="AU9:AV10"/>
    <mergeCell ref="AW9:AX10"/>
    <mergeCell ref="AG9:AH10"/>
    <mergeCell ref="AI9:AJ10"/>
    <mergeCell ref="AK9:AL10"/>
    <mergeCell ref="AM9:AN10"/>
    <mergeCell ref="AO9:AP10"/>
    <mergeCell ref="AQ9:AR10"/>
    <mergeCell ref="AS9:AT10"/>
    <mergeCell ref="AC5:AD6"/>
    <mergeCell ref="AE5:AF6"/>
    <mergeCell ref="O5:P6"/>
    <mergeCell ref="Q5:R6"/>
    <mergeCell ref="S5:T6"/>
    <mergeCell ref="U5:V6"/>
    <mergeCell ref="W5:X6"/>
    <mergeCell ref="Y5:Z6"/>
    <mergeCell ref="AA5:AB6"/>
    <mergeCell ref="N7:O8"/>
    <mergeCell ref="P7:Q8"/>
    <mergeCell ref="R7:S8"/>
    <mergeCell ref="T7:U8"/>
    <mergeCell ref="V7:W8"/>
    <mergeCell ref="X7:Y8"/>
    <mergeCell ref="Z7:AA8"/>
    <mergeCell ref="AP7:AQ8"/>
    <mergeCell ref="AR7:AS8"/>
    <mergeCell ref="AT7:AU8"/>
    <mergeCell ref="AV7:AW8"/>
    <mergeCell ref="AX7:AY8"/>
    <mergeCell ref="AZ7:AZ8"/>
    <mergeCell ref="AY9:AZ10"/>
    <mergeCell ref="A7:A8"/>
    <mergeCell ref="B7:C8"/>
    <mergeCell ref="D7:E8"/>
    <mergeCell ref="F7:G8"/>
    <mergeCell ref="H7:I8"/>
    <mergeCell ref="J7:K8"/>
    <mergeCell ref="L7:M8"/>
    <mergeCell ref="A9:B10"/>
    <mergeCell ref="C9:D10"/>
    <mergeCell ref="E9:F10"/>
    <mergeCell ref="G9:H10"/>
    <mergeCell ref="I9:J10"/>
    <mergeCell ref="K9:L10"/>
    <mergeCell ref="M9:N10"/>
    <mergeCell ref="AB7:AC8"/>
    <mergeCell ref="AD7:AE8"/>
    <mergeCell ref="AF7:AG8"/>
    <mergeCell ref="AH7:AI8"/>
    <mergeCell ref="AJ7:AK8"/>
    <mergeCell ref="AL7:AM8"/>
    <mergeCell ref="AN7:AO8"/>
    <mergeCell ref="AU13:AV14"/>
    <mergeCell ref="AW13:AX14"/>
    <mergeCell ref="AG13:AH14"/>
    <mergeCell ref="AI13:AJ14"/>
    <mergeCell ref="AK13:AL14"/>
    <mergeCell ref="AM13:AN14"/>
    <mergeCell ref="AO13:AP14"/>
    <mergeCell ref="AQ13:AR14"/>
    <mergeCell ref="AS13:AT14"/>
    <mergeCell ref="AC45:AD46"/>
    <mergeCell ref="AE45:AF46"/>
    <mergeCell ref="AY45:AZ46"/>
    <mergeCell ref="O45:P46"/>
    <mergeCell ref="Q45:R46"/>
    <mergeCell ref="S45:T46"/>
    <mergeCell ref="U45:V46"/>
    <mergeCell ref="W45:X46"/>
    <mergeCell ref="Y45:Z46"/>
    <mergeCell ref="AA45:AB46"/>
    <mergeCell ref="AB51:AC52"/>
    <mergeCell ref="AD51:AE52"/>
    <mergeCell ref="N51:O52"/>
    <mergeCell ref="P51:Q52"/>
    <mergeCell ref="R51:S52"/>
    <mergeCell ref="T51:U52"/>
    <mergeCell ref="V51:W52"/>
    <mergeCell ref="X51:Y52"/>
    <mergeCell ref="Z51:AA52"/>
    <mergeCell ref="O53:P54"/>
    <mergeCell ref="Q53:R54"/>
    <mergeCell ref="S53:T54"/>
    <mergeCell ref="U53:V54"/>
    <mergeCell ref="W53:X54"/>
    <mergeCell ref="Y53:Z54"/>
    <mergeCell ref="AA53:AB54"/>
    <mergeCell ref="AQ53:AR54"/>
    <mergeCell ref="AS53:AT54"/>
    <mergeCell ref="AU53:AV54"/>
    <mergeCell ref="AW53:AX54"/>
    <mergeCell ref="AY53:AZ54"/>
    <mergeCell ref="AX55:AY56"/>
    <mergeCell ref="AZ55:AZ56"/>
    <mergeCell ref="A53:B54"/>
    <mergeCell ref="C53:D54"/>
    <mergeCell ref="E53:F54"/>
    <mergeCell ref="G53:H54"/>
    <mergeCell ref="I53:J54"/>
    <mergeCell ref="K53:L54"/>
    <mergeCell ref="M53:N54"/>
    <mergeCell ref="A55:A56"/>
    <mergeCell ref="B55:C56"/>
    <mergeCell ref="D55:E56"/>
    <mergeCell ref="F55:G56"/>
    <mergeCell ref="H55:I56"/>
    <mergeCell ref="J55:K56"/>
    <mergeCell ref="L55:M56"/>
    <mergeCell ref="AC53:AD54"/>
    <mergeCell ref="AE53:AF54"/>
    <mergeCell ref="AG53:AH54"/>
    <mergeCell ref="AI53:AJ54"/>
    <mergeCell ref="AK53:AL54"/>
    <mergeCell ref="AM53:AN54"/>
    <mergeCell ref="AO53:AP54"/>
    <mergeCell ref="AT59:AU60"/>
    <mergeCell ref="AV59:AW60"/>
    <mergeCell ref="AF59:AG60"/>
    <mergeCell ref="AH59:AI60"/>
    <mergeCell ref="AJ59:AK60"/>
    <mergeCell ref="AL59:AM60"/>
    <mergeCell ref="AN59:AO60"/>
    <mergeCell ref="AP59:AQ60"/>
    <mergeCell ref="AR59:AS60"/>
    <mergeCell ref="AB55:AC56"/>
    <mergeCell ref="AD55:AE56"/>
    <mergeCell ref="N55:O56"/>
    <mergeCell ref="P55:Q56"/>
    <mergeCell ref="R55:S56"/>
    <mergeCell ref="T55:U56"/>
    <mergeCell ref="V55:W56"/>
    <mergeCell ref="X55:Y56"/>
    <mergeCell ref="Z55:AA56"/>
    <mergeCell ref="O57:P58"/>
    <mergeCell ref="Q57:R58"/>
    <mergeCell ref="S57:T58"/>
    <mergeCell ref="U57:V58"/>
    <mergeCell ref="W57:X58"/>
    <mergeCell ref="Y57:Z58"/>
    <mergeCell ref="AA57:AB58"/>
    <mergeCell ref="AQ57:AR58"/>
    <mergeCell ref="AS57:AT58"/>
    <mergeCell ref="AU57:AV58"/>
    <mergeCell ref="AW57:AX58"/>
    <mergeCell ref="AY57:AZ58"/>
    <mergeCell ref="AX59:AY60"/>
    <mergeCell ref="AZ59:AZ60"/>
    <mergeCell ref="A57:B58"/>
    <mergeCell ref="C57:D58"/>
    <mergeCell ref="E57:F58"/>
    <mergeCell ref="G57:H58"/>
    <mergeCell ref="I57:J58"/>
    <mergeCell ref="K57:L58"/>
    <mergeCell ref="M57:N58"/>
    <mergeCell ref="A59:A60"/>
    <mergeCell ref="B59:C60"/>
    <mergeCell ref="D59:E60"/>
    <mergeCell ref="F59:G60"/>
    <mergeCell ref="H59:I60"/>
    <mergeCell ref="J59:K60"/>
    <mergeCell ref="L59:M60"/>
    <mergeCell ref="AC57:AD58"/>
    <mergeCell ref="AE57:AF58"/>
    <mergeCell ref="AG57:AH58"/>
    <mergeCell ref="AI57:AJ58"/>
    <mergeCell ref="AK57:AL58"/>
    <mergeCell ref="AM57:AN58"/>
    <mergeCell ref="AO57:AP58"/>
    <mergeCell ref="AU45:AV46"/>
    <mergeCell ref="AW45:AX46"/>
    <mergeCell ref="AG45:AH46"/>
    <mergeCell ref="AI45:AJ46"/>
    <mergeCell ref="AK45:AL46"/>
    <mergeCell ref="AM45:AN46"/>
    <mergeCell ref="AO45:AP46"/>
    <mergeCell ref="AQ45:AR46"/>
    <mergeCell ref="AS45:AT46"/>
    <mergeCell ref="AC41:AD42"/>
    <mergeCell ref="AE41:AF42"/>
    <mergeCell ref="O41:P42"/>
    <mergeCell ref="Q41:R42"/>
    <mergeCell ref="S41:T42"/>
    <mergeCell ref="U41:V42"/>
    <mergeCell ref="W41:X42"/>
    <mergeCell ref="Y41:Z42"/>
    <mergeCell ref="AA41:AB42"/>
    <mergeCell ref="N43:O44"/>
    <mergeCell ref="P43:Q44"/>
    <mergeCell ref="R43:S44"/>
    <mergeCell ref="T43:U44"/>
    <mergeCell ref="V43:W44"/>
    <mergeCell ref="X43:Y44"/>
    <mergeCell ref="Z43:AA44"/>
    <mergeCell ref="AP43:AQ44"/>
    <mergeCell ref="AR43:AS44"/>
    <mergeCell ref="AT43:AU44"/>
    <mergeCell ref="AV43:AW44"/>
    <mergeCell ref="AX43:AY44"/>
    <mergeCell ref="AZ43:AZ44"/>
    <mergeCell ref="A43:A44"/>
    <mergeCell ref="B43:C44"/>
    <mergeCell ref="D43:E44"/>
    <mergeCell ref="F43:G44"/>
    <mergeCell ref="H43:I44"/>
    <mergeCell ref="J43:K44"/>
    <mergeCell ref="L43:M44"/>
    <mergeCell ref="AB43:AC44"/>
    <mergeCell ref="AD43:AE44"/>
    <mergeCell ref="AF43:AG44"/>
    <mergeCell ref="AH43:AI44"/>
    <mergeCell ref="AJ43:AK44"/>
    <mergeCell ref="AL43:AM44"/>
    <mergeCell ref="AN43:AO44"/>
    <mergeCell ref="A45:B46"/>
    <mergeCell ref="C45:D46"/>
    <mergeCell ref="E45:F46"/>
    <mergeCell ref="G45:H46"/>
    <mergeCell ref="I45:J46"/>
    <mergeCell ref="K45:L46"/>
    <mergeCell ref="M45:N46"/>
    <mergeCell ref="O49:P50"/>
    <mergeCell ref="Q49:R50"/>
    <mergeCell ref="S49:T50"/>
    <mergeCell ref="U49:V50"/>
    <mergeCell ref="W49:X50"/>
    <mergeCell ref="Y49:Z50"/>
    <mergeCell ref="AA49:AB50"/>
    <mergeCell ref="A49:B50"/>
    <mergeCell ref="C49:D50"/>
    <mergeCell ref="E49:F50"/>
    <mergeCell ref="G49:H50"/>
    <mergeCell ref="I49:J50"/>
    <mergeCell ref="K49:L50"/>
    <mergeCell ref="M49:N50"/>
    <mergeCell ref="AT51:AU52"/>
    <mergeCell ref="AV51:AW52"/>
    <mergeCell ref="AF51:AG52"/>
    <mergeCell ref="AH51:AI52"/>
    <mergeCell ref="AJ51:AK52"/>
    <mergeCell ref="AL51:AM52"/>
    <mergeCell ref="AN51:AO52"/>
    <mergeCell ref="AP51:AQ52"/>
    <mergeCell ref="AR51:AS52"/>
    <mergeCell ref="N47:O48"/>
    <mergeCell ref="P47:Q48"/>
    <mergeCell ref="R47:S48"/>
    <mergeCell ref="T47:U48"/>
    <mergeCell ref="V47:W48"/>
    <mergeCell ref="X47:Y48"/>
    <mergeCell ref="Z47:AA48"/>
    <mergeCell ref="AP47:AQ48"/>
    <mergeCell ref="AR47:AS48"/>
    <mergeCell ref="AT47:AU48"/>
    <mergeCell ref="AV47:AW48"/>
    <mergeCell ref="AX47:AY48"/>
    <mergeCell ref="AZ47:AZ48"/>
    <mergeCell ref="AB47:AC48"/>
    <mergeCell ref="AD47:AE48"/>
    <mergeCell ref="AF47:AG48"/>
    <mergeCell ref="AH47:AI48"/>
    <mergeCell ref="AJ47:AK48"/>
    <mergeCell ref="AL47:AM48"/>
    <mergeCell ref="AN47:AO48"/>
    <mergeCell ref="A47:A48"/>
    <mergeCell ref="B47:C48"/>
    <mergeCell ref="D47:E48"/>
    <mergeCell ref="F47:G48"/>
    <mergeCell ref="H47:I48"/>
    <mergeCell ref="J47:K48"/>
    <mergeCell ref="L47:M48"/>
    <mergeCell ref="AQ49:AR50"/>
    <mergeCell ref="AS49:AT50"/>
    <mergeCell ref="AU49:AV50"/>
    <mergeCell ref="AW49:AX50"/>
    <mergeCell ref="AY49:AZ50"/>
    <mergeCell ref="AX51:AY52"/>
    <mergeCell ref="AZ51:AZ52"/>
    <mergeCell ref="A51:A52"/>
    <mergeCell ref="B51:C52"/>
    <mergeCell ref="D51:E52"/>
    <mergeCell ref="F51:G52"/>
    <mergeCell ref="H51:I52"/>
    <mergeCell ref="J51:K52"/>
    <mergeCell ref="L51:M52"/>
    <mergeCell ref="AC49:AD50"/>
    <mergeCell ref="AE49:AF50"/>
    <mergeCell ref="AG49:AH50"/>
    <mergeCell ref="AI49:AJ50"/>
    <mergeCell ref="AK49:AL50"/>
    <mergeCell ref="AM49:AN50"/>
    <mergeCell ref="AO49:AP50"/>
    <mergeCell ref="AT55:AU56"/>
    <mergeCell ref="AV55:AW56"/>
    <mergeCell ref="AF55:AG56"/>
    <mergeCell ref="AH55:AI56"/>
    <mergeCell ref="AJ55:AK56"/>
    <mergeCell ref="AL55:AM56"/>
    <mergeCell ref="AN55:AO56"/>
    <mergeCell ref="AP55:AQ56"/>
    <mergeCell ref="AR55:AS56"/>
    <mergeCell ref="AB63:AC64"/>
    <mergeCell ref="AD63:AE64"/>
    <mergeCell ref="AX63:AY64"/>
    <mergeCell ref="AZ63:AZ64"/>
    <mergeCell ref="N63:O64"/>
    <mergeCell ref="P63:Q64"/>
    <mergeCell ref="R63:S64"/>
    <mergeCell ref="T63:U64"/>
    <mergeCell ref="V63:W64"/>
    <mergeCell ref="X63:Y64"/>
    <mergeCell ref="Z63:AA64"/>
    <mergeCell ref="AC82:AD83"/>
    <mergeCell ref="AG82:AH83"/>
    <mergeCell ref="AK82:AL83"/>
    <mergeCell ref="AO82:AP83"/>
    <mergeCell ref="AS82:AT83"/>
    <mergeCell ref="AW82:AX83"/>
    <mergeCell ref="A82:B83"/>
    <mergeCell ref="E82:F83"/>
    <mergeCell ref="I82:J83"/>
    <mergeCell ref="M82:N83"/>
    <mergeCell ref="Q82:R83"/>
    <mergeCell ref="U82:V83"/>
    <mergeCell ref="Y82:Z83"/>
    <mergeCell ref="AE83:AF84"/>
    <mergeCell ref="AI83:AJ84"/>
    <mergeCell ref="AM83:AN84"/>
    <mergeCell ref="AQ83:AR84"/>
    <mergeCell ref="AU83:AV84"/>
    <mergeCell ref="AY83:AZ84"/>
    <mergeCell ref="C83:D84"/>
    <mergeCell ref="G83:H84"/>
    <mergeCell ref="K83:L84"/>
    <mergeCell ref="O83:P84"/>
    <mergeCell ref="S83:T84"/>
    <mergeCell ref="W83:X84"/>
    <mergeCell ref="AA83:AB84"/>
    <mergeCell ref="AC84:AD85"/>
    <mergeCell ref="AG84:AH85"/>
    <mergeCell ref="AK84:AL85"/>
    <mergeCell ref="AO84:AP85"/>
    <mergeCell ref="AS84:AT85"/>
    <mergeCell ref="AW84:AX85"/>
    <mergeCell ref="A84:B85"/>
    <mergeCell ref="E84:F85"/>
    <mergeCell ref="I84:J85"/>
    <mergeCell ref="M84:N85"/>
    <mergeCell ref="Q84:R85"/>
    <mergeCell ref="U84:V85"/>
    <mergeCell ref="Y84:Z85"/>
    <mergeCell ref="AE85:AF86"/>
    <mergeCell ref="AI85:AJ86"/>
    <mergeCell ref="AM85:AN86"/>
    <mergeCell ref="AQ85:AR86"/>
    <mergeCell ref="AU85:AV86"/>
    <mergeCell ref="AY85:AZ86"/>
    <mergeCell ref="C85:D86"/>
    <mergeCell ref="G85:H86"/>
    <mergeCell ref="K85:L86"/>
    <mergeCell ref="O85:P86"/>
    <mergeCell ref="S85:T86"/>
    <mergeCell ref="W85:X86"/>
    <mergeCell ref="AA85:AB86"/>
    <mergeCell ref="AC86:AD87"/>
    <mergeCell ref="AG86:AH87"/>
    <mergeCell ref="AK86:AL87"/>
    <mergeCell ref="AO86:AP87"/>
    <mergeCell ref="AS86:AT87"/>
    <mergeCell ref="AW86:AX87"/>
    <mergeCell ref="A86:B87"/>
    <mergeCell ref="E86:F87"/>
    <mergeCell ref="I86:J87"/>
    <mergeCell ref="M86:N87"/>
    <mergeCell ref="Q86:R87"/>
    <mergeCell ref="U86:V87"/>
    <mergeCell ref="Y86:Z87"/>
    <mergeCell ref="AE87:AF88"/>
    <mergeCell ref="AI87:AJ88"/>
    <mergeCell ref="AM87:AN88"/>
    <mergeCell ref="AQ87:AR88"/>
    <mergeCell ref="AU87:AV88"/>
    <mergeCell ref="AY87:AZ88"/>
    <mergeCell ref="C87:D88"/>
    <mergeCell ref="G87:H88"/>
    <mergeCell ref="K87:L88"/>
    <mergeCell ref="O87:P88"/>
    <mergeCell ref="S87:T88"/>
    <mergeCell ref="W87:X88"/>
    <mergeCell ref="AA87:AB88"/>
    <mergeCell ref="AC88:AD89"/>
    <mergeCell ref="AG88:AH89"/>
    <mergeCell ref="AK88:AL89"/>
    <mergeCell ref="AO88:AP89"/>
    <mergeCell ref="AS88:AT89"/>
    <mergeCell ref="AW88:AX89"/>
    <mergeCell ref="A88:B89"/>
    <mergeCell ref="E88:F89"/>
    <mergeCell ref="I88:J89"/>
    <mergeCell ref="M88:N89"/>
    <mergeCell ref="Q88:R89"/>
    <mergeCell ref="U88:V89"/>
    <mergeCell ref="Y88:Z89"/>
    <mergeCell ref="AE89:AF90"/>
    <mergeCell ref="AI89:AJ90"/>
    <mergeCell ref="AM89:AN90"/>
    <mergeCell ref="AQ89:AR90"/>
    <mergeCell ref="AU89:AV90"/>
    <mergeCell ref="AY89:AZ90"/>
    <mergeCell ref="C89:D90"/>
    <mergeCell ref="G89:H90"/>
    <mergeCell ref="K89:L90"/>
    <mergeCell ref="O89:P90"/>
    <mergeCell ref="S89:T90"/>
    <mergeCell ref="W89:X90"/>
    <mergeCell ref="AA89:AB90"/>
    <mergeCell ref="AC90:AD91"/>
    <mergeCell ref="AG90:AH91"/>
    <mergeCell ref="AK90:AL91"/>
    <mergeCell ref="AO90:AP91"/>
    <mergeCell ref="AS90:AT91"/>
    <mergeCell ref="AW90:AX91"/>
    <mergeCell ref="A90:B91"/>
    <mergeCell ref="E90:F91"/>
    <mergeCell ref="I90:J91"/>
    <mergeCell ref="M90:N91"/>
    <mergeCell ref="Q90:R91"/>
    <mergeCell ref="U90:V91"/>
    <mergeCell ref="Y90:Z91"/>
    <mergeCell ref="AE91:AF92"/>
    <mergeCell ref="AI91:AJ92"/>
    <mergeCell ref="AM91:AN92"/>
    <mergeCell ref="AQ91:AR92"/>
    <mergeCell ref="AU91:AV92"/>
    <mergeCell ref="AY91:AZ92"/>
    <mergeCell ref="C91:D92"/>
    <mergeCell ref="G91:H92"/>
    <mergeCell ref="K91:L92"/>
    <mergeCell ref="O91:P92"/>
    <mergeCell ref="S91:T92"/>
    <mergeCell ref="W91:X92"/>
    <mergeCell ref="AA91:AB92"/>
    <mergeCell ref="AC92:AD93"/>
    <mergeCell ref="AG92:AH93"/>
    <mergeCell ref="AK92:AL93"/>
    <mergeCell ref="AO92:AP93"/>
    <mergeCell ref="AS92:AT93"/>
    <mergeCell ref="AW92:AX93"/>
    <mergeCell ref="A92:B93"/>
    <mergeCell ref="E92:F93"/>
    <mergeCell ref="I92:J93"/>
    <mergeCell ref="M92:N93"/>
    <mergeCell ref="Q92:R93"/>
    <mergeCell ref="U92:V93"/>
    <mergeCell ref="Y92:Z93"/>
    <mergeCell ref="AE93:AF94"/>
    <mergeCell ref="AI93:AJ94"/>
    <mergeCell ref="AM93:AN94"/>
    <mergeCell ref="AQ93:AR94"/>
    <mergeCell ref="AU93:AV94"/>
    <mergeCell ref="AY93:AZ94"/>
    <mergeCell ref="C93:D94"/>
    <mergeCell ref="G93:H94"/>
    <mergeCell ref="K93:L94"/>
    <mergeCell ref="O93:P94"/>
    <mergeCell ref="S93:T94"/>
    <mergeCell ref="W93:X94"/>
    <mergeCell ref="AA93:AB94"/>
    <mergeCell ref="AC94:AD95"/>
    <mergeCell ref="AG94:AH95"/>
    <mergeCell ref="AK94:AL95"/>
    <mergeCell ref="AO94:AP95"/>
    <mergeCell ref="AS94:AT95"/>
    <mergeCell ref="AW94:AX95"/>
    <mergeCell ref="A94:B95"/>
    <mergeCell ref="E94:F95"/>
    <mergeCell ref="I94:J95"/>
    <mergeCell ref="M94:N95"/>
    <mergeCell ref="Q94:R95"/>
    <mergeCell ref="U94:V95"/>
    <mergeCell ref="Y94:Z95"/>
    <mergeCell ref="AE95:AF96"/>
    <mergeCell ref="AI95:AJ96"/>
    <mergeCell ref="AM95:AN96"/>
    <mergeCell ref="AQ95:AR96"/>
    <mergeCell ref="AU95:AV96"/>
    <mergeCell ref="AY95:AZ96"/>
    <mergeCell ref="C95:D96"/>
    <mergeCell ref="G95:H96"/>
    <mergeCell ref="K95:L96"/>
    <mergeCell ref="O95:P96"/>
    <mergeCell ref="S95:T96"/>
    <mergeCell ref="W95:X96"/>
    <mergeCell ref="AA95:AB96"/>
    <mergeCell ref="AC96:AD97"/>
    <mergeCell ref="AG96:AH97"/>
    <mergeCell ref="AK96:AL97"/>
    <mergeCell ref="AO96:AP97"/>
    <mergeCell ref="AS96:AT97"/>
    <mergeCell ref="AW96:AX97"/>
    <mergeCell ref="A96:B97"/>
    <mergeCell ref="E96:F97"/>
    <mergeCell ref="I96:J97"/>
    <mergeCell ref="M96:N97"/>
    <mergeCell ref="Q96:R97"/>
    <mergeCell ref="U96:V97"/>
    <mergeCell ref="Y96:Z97"/>
    <mergeCell ref="AE97:AF98"/>
    <mergeCell ref="AI97:AJ98"/>
    <mergeCell ref="AM97:AN98"/>
    <mergeCell ref="AQ97:AR98"/>
    <mergeCell ref="AU97:AV98"/>
    <mergeCell ref="AY97:AZ98"/>
    <mergeCell ref="C97:D98"/>
    <mergeCell ref="G97:H98"/>
    <mergeCell ref="K97:L98"/>
    <mergeCell ref="O97:P98"/>
    <mergeCell ref="S97:T98"/>
    <mergeCell ref="W97:X98"/>
    <mergeCell ref="AA97:AB98"/>
    <mergeCell ref="AC98:AD99"/>
    <mergeCell ref="AG98:AH99"/>
    <mergeCell ref="AK98:AL99"/>
    <mergeCell ref="AO98:AP99"/>
    <mergeCell ref="AS98:AT99"/>
    <mergeCell ref="AW98:AX99"/>
    <mergeCell ref="A98:B99"/>
    <mergeCell ref="E98:F99"/>
    <mergeCell ref="I98:J99"/>
    <mergeCell ref="M98:N99"/>
    <mergeCell ref="Q98:R99"/>
    <mergeCell ref="U98:V99"/>
    <mergeCell ref="Y98:Z99"/>
    <mergeCell ref="AE99:AF100"/>
    <mergeCell ref="AI99:AJ100"/>
    <mergeCell ref="AM99:AN100"/>
    <mergeCell ref="AQ99:AR100"/>
    <mergeCell ref="AU99:AV100"/>
    <mergeCell ref="AY99:AZ100"/>
    <mergeCell ref="C99:D100"/>
    <mergeCell ref="G99:H100"/>
    <mergeCell ref="K99:L100"/>
    <mergeCell ref="O99:P100"/>
    <mergeCell ref="S99:T100"/>
    <mergeCell ref="W99:X100"/>
    <mergeCell ref="AA99:AB100"/>
    <mergeCell ref="AC100:AD101"/>
    <mergeCell ref="AG100:AH101"/>
    <mergeCell ref="AK100:AL101"/>
    <mergeCell ref="AO100:AP101"/>
    <mergeCell ref="AS100:AT101"/>
    <mergeCell ref="AW100:AX101"/>
    <mergeCell ref="A100:B101"/>
    <mergeCell ref="E100:F101"/>
    <mergeCell ref="I100:J101"/>
    <mergeCell ref="M100:N101"/>
    <mergeCell ref="Q100:R101"/>
    <mergeCell ref="U100:V101"/>
    <mergeCell ref="Y100:Z101"/>
    <mergeCell ref="AE101:AF102"/>
    <mergeCell ref="AI101:AJ102"/>
    <mergeCell ref="AM101:AN102"/>
    <mergeCell ref="AQ101:AR102"/>
    <mergeCell ref="AU101:AV102"/>
    <mergeCell ref="AY101:AZ102"/>
    <mergeCell ref="C101:D102"/>
    <mergeCell ref="G101:H102"/>
    <mergeCell ref="K101:L102"/>
    <mergeCell ref="O101:P102"/>
    <mergeCell ref="S101:T102"/>
    <mergeCell ref="W101:X102"/>
    <mergeCell ref="AA101:AB102"/>
    <mergeCell ref="AC102:AD103"/>
    <mergeCell ref="AG102:AH103"/>
    <mergeCell ref="AK102:AL103"/>
    <mergeCell ref="AO102:AP103"/>
    <mergeCell ref="AS102:AT103"/>
    <mergeCell ref="AW102:AX103"/>
    <mergeCell ref="A102:B103"/>
    <mergeCell ref="E102:F103"/>
    <mergeCell ref="I102:J103"/>
    <mergeCell ref="M102:N103"/>
    <mergeCell ref="Q102:R103"/>
    <mergeCell ref="U102:V103"/>
    <mergeCell ref="Y102:Z103"/>
    <mergeCell ref="AE103:AF104"/>
    <mergeCell ref="AI103:AJ104"/>
    <mergeCell ref="AM103:AN104"/>
    <mergeCell ref="AQ103:AR104"/>
    <mergeCell ref="AU103:AV104"/>
    <mergeCell ref="AY103:AZ104"/>
    <mergeCell ref="C103:D104"/>
    <mergeCell ref="G103:H104"/>
    <mergeCell ref="K103:L104"/>
    <mergeCell ref="O103:P104"/>
    <mergeCell ref="S103:T104"/>
    <mergeCell ref="W103:X104"/>
    <mergeCell ref="AA103:AB104"/>
    <mergeCell ref="AC104:AD105"/>
    <mergeCell ref="AG104:AH105"/>
    <mergeCell ref="AK104:AL105"/>
    <mergeCell ref="AO104:AP105"/>
    <mergeCell ref="AS104:AT105"/>
    <mergeCell ref="AW104:AX105"/>
    <mergeCell ref="A104:B105"/>
    <mergeCell ref="E104:F105"/>
    <mergeCell ref="I104:J105"/>
    <mergeCell ref="M104:N105"/>
    <mergeCell ref="Q104:R105"/>
    <mergeCell ref="U104:V105"/>
    <mergeCell ref="Y104:Z105"/>
    <mergeCell ref="AE105:AF106"/>
    <mergeCell ref="AI105:AJ106"/>
    <mergeCell ref="AM105:AN106"/>
    <mergeCell ref="AQ105:AR106"/>
    <mergeCell ref="AU105:AV106"/>
    <mergeCell ref="AY105:AZ106"/>
    <mergeCell ref="C105:D106"/>
    <mergeCell ref="G105:H106"/>
    <mergeCell ref="K105:L106"/>
    <mergeCell ref="O105:P106"/>
    <mergeCell ref="S105:T106"/>
    <mergeCell ref="W105:X106"/>
    <mergeCell ref="AA105:AB106"/>
    <mergeCell ref="AC106:AD107"/>
    <mergeCell ref="AG106:AH107"/>
    <mergeCell ref="AK106:AL107"/>
    <mergeCell ref="AO106:AP107"/>
    <mergeCell ref="AS106:AT107"/>
    <mergeCell ref="AW106:AX107"/>
    <mergeCell ref="A106:B107"/>
    <mergeCell ref="E106:F107"/>
    <mergeCell ref="I106:J107"/>
    <mergeCell ref="M106:N107"/>
    <mergeCell ref="Q106:R107"/>
    <mergeCell ref="U106:V107"/>
    <mergeCell ref="Y106:Z107"/>
    <mergeCell ref="AE107:AF108"/>
    <mergeCell ref="AI107:AJ108"/>
    <mergeCell ref="AM107:AN108"/>
    <mergeCell ref="AQ107:AR108"/>
    <mergeCell ref="AU107:AV108"/>
    <mergeCell ref="AY107:AZ108"/>
    <mergeCell ref="C107:D108"/>
    <mergeCell ref="G107:H108"/>
    <mergeCell ref="K107:L108"/>
    <mergeCell ref="O107:P108"/>
    <mergeCell ref="S107:T108"/>
    <mergeCell ref="W107:X108"/>
    <mergeCell ref="AA107:AB108"/>
    <mergeCell ref="AC108:AD109"/>
    <mergeCell ref="AG108:AH109"/>
    <mergeCell ref="AK108:AL109"/>
    <mergeCell ref="AO108:AP109"/>
    <mergeCell ref="AS108:AT109"/>
    <mergeCell ref="AW108:AX109"/>
    <mergeCell ref="A108:B109"/>
    <mergeCell ref="E108:F109"/>
    <mergeCell ref="I108:J109"/>
    <mergeCell ref="M108:N109"/>
    <mergeCell ref="Q108:R109"/>
    <mergeCell ref="U108:V109"/>
    <mergeCell ref="Y108:Z109"/>
    <mergeCell ref="AE109:AF110"/>
    <mergeCell ref="AI109:AJ110"/>
    <mergeCell ref="AM109:AN110"/>
    <mergeCell ref="AQ109:AR110"/>
    <mergeCell ref="AU109:AV110"/>
    <mergeCell ref="AY109:AZ110"/>
    <mergeCell ref="C109:D110"/>
    <mergeCell ref="G109:H110"/>
    <mergeCell ref="K109:L110"/>
    <mergeCell ref="O109:P110"/>
    <mergeCell ref="S109:T110"/>
    <mergeCell ref="W109:X110"/>
    <mergeCell ref="AA109:AB110"/>
    <mergeCell ref="AC110:AD111"/>
    <mergeCell ref="AG110:AH111"/>
    <mergeCell ref="AK110:AL111"/>
    <mergeCell ref="AO110:AP111"/>
    <mergeCell ref="AS110:AT111"/>
    <mergeCell ref="AW110:AX111"/>
    <mergeCell ref="A110:B111"/>
    <mergeCell ref="E110:F111"/>
    <mergeCell ref="I110:J111"/>
    <mergeCell ref="M110:N111"/>
    <mergeCell ref="Q110:R111"/>
    <mergeCell ref="U110:V111"/>
    <mergeCell ref="Y110:Z111"/>
    <mergeCell ref="AE111:AF112"/>
    <mergeCell ref="AI111:AJ112"/>
    <mergeCell ref="AM111:AN112"/>
    <mergeCell ref="AQ111:AR112"/>
    <mergeCell ref="AU111:AV112"/>
    <mergeCell ref="AY111:AZ112"/>
    <mergeCell ref="C111:D112"/>
    <mergeCell ref="G111:H112"/>
    <mergeCell ref="K111:L112"/>
    <mergeCell ref="O111:P112"/>
    <mergeCell ref="S111:T112"/>
    <mergeCell ref="W111:X112"/>
    <mergeCell ref="AA111:AB112"/>
    <mergeCell ref="AC112:AD113"/>
    <mergeCell ref="AG112:AH113"/>
    <mergeCell ref="AK112:AL113"/>
    <mergeCell ref="AO112:AP113"/>
    <mergeCell ref="AS112:AT113"/>
    <mergeCell ref="AW112:AX113"/>
    <mergeCell ref="A112:B113"/>
    <mergeCell ref="E112:F113"/>
    <mergeCell ref="I112:J113"/>
    <mergeCell ref="M112:N113"/>
    <mergeCell ref="Q112:R113"/>
    <mergeCell ref="U112:V113"/>
    <mergeCell ref="Y112:Z113"/>
    <mergeCell ref="AE113:AF114"/>
    <mergeCell ref="AI113:AJ114"/>
    <mergeCell ref="AM113:AN114"/>
    <mergeCell ref="AQ113:AR114"/>
    <mergeCell ref="AU113:AV114"/>
    <mergeCell ref="AY113:AZ114"/>
    <mergeCell ref="C113:D114"/>
    <mergeCell ref="G113:H114"/>
    <mergeCell ref="K113:L114"/>
    <mergeCell ref="O113:P114"/>
    <mergeCell ref="S113:T114"/>
    <mergeCell ref="W113:X114"/>
    <mergeCell ref="AA113:AB114"/>
    <mergeCell ref="AC114:AD115"/>
    <mergeCell ref="AG114:AH115"/>
    <mergeCell ref="AK114:AL115"/>
    <mergeCell ref="AO114:AP115"/>
    <mergeCell ref="AS114:AT115"/>
    <mergeCell ref="AW114:AX115"/>
    <mergeCell ref="A114:B115"/>
    <mergeCell ref="E114:F115"/>
    <mergeCell ref="I114:J115"/>
    <mergeCell ref="M114:N115"/>
    <mergeCell ref="Q114:R115"/>
    <mergeCell ref="U114:V115"/>
    <mergeCell ref="Y114:Z115"/>
    <mergeCell ref="AE115:AF116"/>
    <mergeCell ref="AI115:AJ116"/>
    <mergeCell ref="AM115:AN116"/>
    <mergeCell ref="AQ115:AR116"/>
    <mergeCell ref="AU115:AV116"/>
    <mergeCell ref="AY115:AZ116"/>
    <mergeCell ref="C115:D116"/>
    <mergeCell ref="G115:H116"/>
    <mergeCell ref="K115:L116"/>
    <mergeCell ref="O115:P116"/>
    <mergeCell ref="S115:T116"/>
    <mergeCell ref="W115:X116"/>
    <mergeCell ref="AA115:AB116"/>
    <mergeCell ref="AC116:AD117"/>
    <mergeCell ref="AG116:AH117"/>
    <mergeCell ref="AK116:AL117"/>
    <mergeCell ref="AO116:AP117"/>
    <mergeCell ref="AS116:AT117"/>
    <mergeCell ref="AW116:AX117"/>
    <mergeCell ref="A116:B117"/>
    <mergeCell ref="E116:F117"/>
    <mergeCell ref="I116:J117"/>
    <mergeCell ref="M116:N117"/>
    <mergeCell ref="Q116:R117"/>
    <mergeCell ref="U116:V117"/>
    <mergeCell ref="Y116:Z117"/>
    <mergeCell ref="AE117:AF118"/>
    <mergeCell ref="AI117:AJ118"/>
    <mergeCell ref="AM117:AN118"/>
    <mergeCell ref="AQ117:AR118"/>
    <mergeCell ref="AU117:AV118"/>
    <mergeCell ref="AY117:AZ118"/>
    <mergeCell ref="C117:D118"/>
    <mergeCell ref="G117:H118"/>
    <mergeCell ref="K117:L118"/>
    <mergeCell ref="O117:P118"/>
    <mergeCell ref="S117:T118"/>
    <mergeCell ref="W117:X118"/>
    <mergeCell ref="AA117:AB118"/>
    <mergeCell ref="AC118:AD119"/>
    <mergeCell ref="AG118:AH119"/>
    <mergeCell ref="AK118:AL119"/>
    <mergeCell ref="AO118:AP119"/>
    <mergeCell ref="AS118:AT119"/>
    <mergeCell ref="AW118:AX119"/>
    <mergeCell ref="A118:B119"/>
    <mergeCell ref="E118:F119"/>
    <mergeCell ref="I118:J119"/>
    <mergeCell ref="M118:N119"/>
    <mergeCell ref="Q118:R119"/>
    <mergeCell ref="U118:V119"/>
    <mergeCell ref="Y118:Z119"/>
    <mergeCell ref="AE119:AF120"/>
    <mergeCell ref="AI119:AJ120"/>
    <mergeCell ref="AM119:AN120"/>
    <mergeCell ref="AQ119:AR120"/>
    <mergeCell ref="AU119:AV120"/>
    <mergeCell ref="AY119:AZ120"/>
    <mergeCell ref="C119:D120"/>
    <mergeCell ref="G119:H120"/>
    <mergeCell ref="K119:L120"/>
    <mergeCell ref="O119:P120"/>
    <mergeCell ref="S119:T120"/>
    <mergeCell ref="W119:X120"/>
    <mergeCell ref="AA119:AB120"/>
    <mergeCell ref="AC120:AD121"/>
    <mergeCell ref="AG120:AH121"/>
    <mergeCell ref="AK120:AL121"/>
    <mergeCell ref="AO120:AP121"/>
    <mergeCell ref="AS120:AT121"/>
    <mergeCell ref="AW120:AX121"/>
    <mergeCell ref="A120:B121"/>
    <mergeCell ref="E120:F121"/>
    <mergeCell ref="I120:J121"/>
    <mergeCell ref="M120:N121"/>
    <mergeCell ref="Q120:R121"/>
    <mergeCell ref="U120:V121"/>
    <mergeCell ref="Y120:Z121"/>
    <mergeCell ref="AE121:AF122"/>
    <mergeCell ref="AI121:AJ122"/>
    <mergeCell ref="AM121:AN122"/>
    <mergeCell ref="AQ121:AR122"/>
    <mergeCell ref="AU121:AV122"/>
    <mergeCell ref="AY121:AZ122"/>
    <mergeCell ref="C121:D122"/>
    <mergeCell ref="G121:H122"/>
    <mergeCell ref="K121:L122"/>
    <mergeCell ref="O121:P122"/>
    <mergeCell ref="S121:T122"/>
    <mergeCell ref="W121:X122"/>
    <mergeCell ref="AA121:AB122"/>
    <mergeCell ref="AC122:AD123"/>
    <mergeCell ref="AG122:AH123"/>
    <mergeCell ref="AK122:AL123"/>
    <mergeCell ref="AO122:AP123"/>
    <mergeCell ref="AS122:AT123"/>
    <mergeCell ref="AW122:AX123"/>
    <mergeCell ref="A122:B123"/>
    <mergeCell ref="E122:F123"/>
    <mergeCell ref="I122:J123"/>
    <mergeCell ref="M122:N123"/>
    <mergeCell ref="Q122:R123"/>
    <mergeCell ref="U122:V123"/>
    <mergeCell ref="Y122:Z123"/>
    <mergeCell ref="AE123:AF124"/>
    <mergeCell ref="AI123:AJ124"/>
    <mergeCell ref="AM123:AN124"/>
    <mergeCell ref="AQ123:AR124"/>
    <mergeCell ref="AU123:AV124"/>
    <mergeCell ref="AY123:AZ124"/>
    <mergeCell ref="C123:D124"/>
    <mergeCell ref="G123:H124"/>
    <mergeCell ref="K123:L124"/>
    <mergeCell ref="O123:P124"/>
    <mergeCell ref="S123:T124"/>
    <mergeCell ref="W123:X124"/>
    <mergeCell ref="AA123:AB124"/>
    <mergeCell ref="A68:B69"/>
    <mergeCell ref="C68:D68"/>
    <mergeCell ref="I68:J69"/>
    <mergeCell ref="K68:L68"/>
    <mergeCell ref="C69:D70"/>
    <mergeCell ref="A70:B71"/>
    <mergeCell ref="I70:J71"/>
    <mergeCell ref="W73:X74"/>
    <mergeCell ref="AA73:AB74"/>
    <mergeCell ref="AE73:AF74"/>
    <mergeCell ref="AI73:AJ74"/>
    <mergeCell ref="AM73:AN74"/>
    <mergeCell ref="AQ73:AR74"/>
    <mergeCell ref="AU73:AV74"/>
    <mergeCell ref="AY73:AZ74"/>
    <mergeCell ref="E68:F69"/>
    <mergeCell ref="E70:F71"/>
    <mergeCell ref="C73:D74"/>
    <mergeCell ref="G73:H74"/>
    <mergeCell ref="K73:L74"/>
    <mergeCell ref="O73:P74"/>
    <mergeCell ref="S73:T74"/>
    <mergeCell ref="AC74:AD75"/>
    <mergeCell ref="AG74:AH75"/>
    <mergeCell ref="AK74:AL75"/>
    <mergeCell ref="AO74:AP75"/>
    <mergeCell ref="AS74:AT75"/>
    <mergeCell ref="AW74:AX75"/>
    <mergeCell ref="A74:B75"/>
    <mergeCell ref="E74:F75"/>
    <mergeCell ref="I74:J75"/>
    <mergeCell ref="M74:N75"/>
    <mergeCell ref="Q74:R75"/>
    <mergeCell ref="U74:V75"/>
    <mergeCell ref="Y74:Z75"/>
    <mergeCell ref="AE75:AF76"/>
    <mergeCell ref="AI75:AJ76"/>
    <mergeCell ref="AM75:AN76"/>
    <mergeCell ref="AQ75:AR76"/>
    <mergeCell ref="AU75:AV76"/>
    <mergeCell ref="AY75:AZ76"/>
    <mergeCell ref="AC76:AD77"/>
    <mergeCell ref="AG76:AH77"/>
    <mergeCell ref="AK76:AL77"/>
    <mergeCell ref="AO76:AP77"/>
    <mergeCell ref="AS76:AT77"/>
    <mergeCell ref="AW76:AX77"/>
    <mergeCell ref="A132:B132"/>
    <mergeCell ref="E132:F132"/>
    <mergeCell ref="I132:J132"/>
    <mergeCell ref="M132:N132"/>
    <mergeCell ref="Q132:R132"/>
    <mergeCell ref="U132:V132"/>
    <mergeCell ref="C131:D132"/>
    <mergeCell ref="G131:H132"/>
    <mergeCell ref="K131:L132"/>
    <mergeCell ref="O131:P132"/>
    <mergeCell ref="S131:T132"/>
    <mergeCell ref="W131:X132"/>
    <mergeCell ref="AA131:AB132"/>
    <mergeCell ref="Y132:Z132"/>
    <mergeCell ref="AO132:AP132"/>
    <mergeCell ref="AS132:AT132"/>
    <mergeCell ref="AE131:AF132"/>
    <mergeCell ref="AI131:AJ132"/>
    <mergeCell ref="AM131:AN132"/>
    <mergeCell ref="AQ131:AR132"/>
    <mergeCell ref="AU131:AV132"/>
    <mergeCell ref="AY131:AZ132"/>
    <mergeCell ref="AC132:AD132"/>
    <mergeCell ref="AW132:AX132"/>
    <mergeCell ref="C75:D76"/>
    <mergeCell ref="G75:H76"/>
    <mergeCell ref="K75:L76"/>
    <mergeCell ref="O75:P76"/>
    <mergeCell ref="S75:T76"/>
    <mergeCell ref="W75:X76"/>
    <mergeCell ref="AA75:AB76"/>
    <mergeCell ref="A76:B77"/>
    <mergeCell ref="E76:F77"/>
    <mergeCell ref="I76:J77"/>
    <mergeCell ref="M76:N77"/>
    <mergeCell ref="Q76:R77"/>
    <mergeCell ref="U76:V77"/>
    <mergeCell ref="Y76:Z77"/>
    <mergeCell ref="AE77:AF78"/>
    <mergeCell ref="AI77:AJ78"/>
    <mergeCell ref="AM77:AN78"/>
    <mergeCell ref="AQ77:AR78"/>
    <mergeCell ref="AU77:AV78"/>
    <mergeCell ref="AY77:AZ78"/>
    <mergeCell ref="C77:D78"/>
    <mergeCell ref="G77:H78"/>
    <mergeCell ref="K77:L78"/>
    <mergeCell ref="O77:P78"/>
    <mergeCell ref="S77:T78"/>
    <mergeCell ref="W77:X78"/>
    <mergeCell ref="AA77:AB78"/>
    <mergeCell ref="AC78:AD79"/>
    <mergeCell ref="AG78:AH79"/>
    <mergeCell ref="AK78:AL79"/>
    <mergeCell ref="AO78:AP79"/>
    <mergeCell ref="AS78:AT79"/>
    <mergeCell ref="AW78:AX79"/>
    <mergeCell ref="AE79:AF80"/>
    <mergeCell ref="AI79:AJ80"/>
    <mergeCell ref="AM79:AN80"/>
    <mergeCell ref="AQ79:AR80"/>
    <mergeCell ref="AU79:AV80"/>
    <mergeCell ref="AY79:AZ80"/>
    <mergeCell ref="AG132:AH132"/>
    <mergeCell ref="AK132:AL132"/>
    <mergeCell ref="AC124:AD125"/>
    <mergeCell ref="AG124:AH125"/>
    <mergeCell ref="AK124:AL125"/>
    <mergeCell ref="AO124:AP125"/>
    <mergeCell ref="AS124:AT125"/>
    <mergeCell ref="AW124:AX125"/>
    <mergeCell ref="A124:B125"/>
    <mergeCell ref="E124:F125"/>
    <mergeCell ref="I124:J125"/>
    <mergeCell ref="M124:N125"/>
    <mergeCell ref="Q124:R125"/>
    <mergeCell ref="U124:V125"/>
    <mergeCell ref="Y124:Z125"/>
    <mergeCell ref="AE125:AF126"/>
    <mergeCell ref="AI125:AJ126"/>
    <mergeCell ref="AM125:AN126"/>
    <mergeCell ref="AQ125:AR126"/>
    <mergeCell ref="AU125:AV126"/>
    <mergeCell ref="AY125:AZ126"/>
    <mergeCell ref="C125:D126"/>
    <mergeCell ref="G125:H126"/>
    <mergeCell ref="K125:L126"/>
    <mergeCell ref="O125:P126"/>
    <mergeCell ref="S125:T126"/>
    <mergeCell ref="W125:X126"/>
    <mergeCell ref="AA125:AB126"/>
    <mergeCell ref="AC126:AD127"/>
    <mergeCell ref="AG126:AH127"/>
    <mergeCell ref="AK126:AL127"/>
    <mergeCell ref="AO126:AP127"/>
    <mergeCell ref="AS126:AT127"/>
    <mergeCell ref="AW126:AX127"/>
    <mergeCell ref="A126:B127"/>
    <mergeCell ref="E126:F127"/>
    <mergeCell ref="I126:J127"/>
    <mergeCell ref="M126:N127"/>
    <mergeCell ref="Q126:R127"/>
    <mergeCell ref="U126:V127"/>
    <mergeCell ref="Y126:Z127"/>
    <mergeCell ref="AE127:AF128"/>
    <mergeCell ref="AI127:AJ128"/>
    <mergeCell ref="AM127:AN128"/>
    <mergeCell ref="AQ127:AR128"/>
    <mergeCell ref="AU127:AV128"/>
    <mergeCell ref="AY127:AZ128"/>
    <mergeCell ref="C127:D128"/>
    <mergeCell ref="G127:H128"/>
    <mergeCell ref="K127:L128"/>
    <mergeCell ref="O127:P128"/>
    <mergeCell ref="S127:T128"/>
    <mergeCell ref="W127:X128"/>
    <mergeCell ref="AA127:AB128"/>
    <mergeCell ref="AC128:AD129"/>
    <mergeCell ref="AG128:AH129"/>
    <mergeCell ref="AK128:AL129"/>
    <mergeCell ref="AO128:AP129"/>
    <mergeCell ref="AS128:AT129"/>
    <mergeCell ref="AW128:AX129"/>
    <mergeCell ref="A128:B129"/>
    <mergeCell ref="E128:F129"/>
    <mergeCell ref="I128:J129"/>
    <mergeCell ref="M128:N129"/>
    <mergeCell ref="Q128:R129"/>
    <mergeCell ref="U128:V129"/>
    <mergeCell ref="Y128:Z129"/>
    <mergeCell ref="AE129:AF130"/>
    <mergeCell ref="AI129:AJ130"/>
    <mergeCell ref="AM129:AN130"/>
    <mergeCell ref="AQ129:AR130"/>
    <mergeCell ref="AU129:AV130"/>
    <mergeCell ref="AY129:AZ130"/>
    <mergeCell ref="C129:D130"/>
    <mergeCell ref="G129:H130"/>
    <mergeCell ref="K129:L130"/>
    <mergeCell ref="O129:P130"/>
    <mergeCell ref="S129:T130"/>
    <mergeCell ref="W129:X130"/>
    <mergeCell ref="AA129:AB130"/>
    <mergeCell ref="AC130:AD131"/>
    <mergeCell ref="AG130:AH131"/>
    <mergeCell ref="AK130:AL131"/>
    <mergeCell ref="AO130:AP131"/>
    <mergeCell ref="AS130:AT131"/>
    <mergeCell ref="AW130:AX131"/>
    <mergeCell ref="A130:B131"/>
    <mergeCell ref="E130:F131"/>
    <mergeCell ref="I130:J131"/>
    <mergeCell ref="M130:N131"/>
    <mergeCell ref="Q130:R131"/>
    <mergeCell ref="U130:V131"/>
    <mergeCell ref="Y130:Z131"/>
    <mergeCell ref="AU21:AV22"/>
    <mergeCell ref="AW21:AX22"/>
    <mergeCell ref="AG21:AH22"/>
    <mergeCell ref="AI21:AJ22"/>
    <mergeCell ref="AK21:AL22"/>
    <mergeCell ref="AM21:AN22"/>
    <mergeCell ref="AO21:AP22"/>
    <mergeCell ref="AQ21:AR22"/>
    <mergeCell ref="AS21:AT22"/>
    <mergeCell ref="AC17:AD18"/>
    <mergeCell ref="AE17:AF18"/>
    <mergeCell ref="O17:P18"/>
    <mergeCell ref="Q17:R18"/>
    <mergeCell ref="S17:T18"/>
    <mergeCell ref="U17:V18"/>
    <mergeCell ref="W17:X18"/>
    <mergeCell ref="Y17:Z18"/>
    <mergeCell ref="AA17:AB18"/>
    <mergeCell ref="N19:O20"/>
    <mergeCell ref="P19:Q20"/>
    <mergeCell ref="R19:S20"/>
    <mergeCell ref="T19:U20"/>
    <mergeCell ref="V19:W20"/>
    <mergeCell ref="X19:Y20"/>
    <mergeCell ref="Z19:AA20"/>
    <mergeCell ref="AP19:AQ20"/>
    <mergeCell ref="AR19:AS20"/>
    <mergeCell ref="AT19:AU20"/>
    <mergeCell ref="AV19:AW20"/>
    <mergeCell ref="AX19:AY20"/>
    <mergeCell ref="AZ19:AZ20"/>
    <mergeCell ref="AY21:AZ22"/>
    <mergeCell ref="A19:A20"/>
    <mergeCell ref="B19:C20"/>
    <mergeCell ref="D19:E20"/>
    <mergeCell ref="F19:G20"/>
    <mergeCell ref="H19:I20"/>
    <mergeCell ref="J19:K20"/>
    <mergeCell ref="L19:M20"/>
    <mergeCell ref="A21:B22"/>
    <mergeCell ref="C21:D22"/>
    <mergeCell ref="E21:F22"/>
    <mergeCell ref="G21:H22"/>
    <mergeCell ref="I21:J22"/>
    <mergeCell ref="K21:L22"/>
    <mergeCell ref="M21:N22"/>
    <mergeCell ref="AB19:AC20"/>
    <mergeCell ref="AD19:AE20"/>
    <mergeCell ref="AF19:AG20"/>
    <mergeCell ref="AH19:AI20"/>
    <mergeCell ref="AJ19:AK20"/>
    <mergeCell ref="AL19:AM20"/>
    <mergeCell ref="AN19:AO20"/>
    <mergeCell ref="AU25:AV26"/>
    <mergeCell ref="AW25:AX26"/>
    <mergeCell ref="AG25:AH26"/>
    <mergeCell ref="AI25:AJ26"/>
    <mergeCell ref="AK25:AL26"/>
    <mergeCell ref="AM25:AN26"/>
    <mergeCell ref="AO25:AP26"/>
    <mergeCell ref="AQ25:AR26"/>
    <mergeCell ref="AS25:AT26"/>
    <mergeCell ref="AC21:AD22"/>
    <mergeCell ref="AE21:AF22"/>
    <mergeCell ref="O21:P22"/>
    <mergeCell ref="Q21:R22"/>
    <mergeCell ref="S21:T22"/>
    <mergeCell ref="U21:V22"/>
    <mergeCell ref="W21:X22"/>
    <mergeCell ref="Y21:Z22"/>
    <mergeCell ref="AA21:AB22"/>
    <mergeCell ref="N23:O24"/>
    <mergeCell ref="P23:Q24"/>
    <mergeCell ref="R23:S24"/>
    <mergeCell ref="T23:U24"/>
    <mergeCell ref="V23:W24"/>
    <mergeCell ref="X23:Y24"/>
    <mergeCell ref="Z23:AA24"/>
    <mergeCell ref="AP23:AQ24"/>
    <mergeCell ref="AR23:AS24"/>
    <mergeCell ref="AT23:AU24"/>
    <mergeCell ref="AV23:AW24"/>
    <mergeCell ref="AX23:AY24"/>
    <mergeCell ref="AZ23:AZ24"/>
    <mergeCell ref="AY25:AZ26"/>
    <mergeCell ref="A23:A24"/>
    <mergeCell ref="B23:C24"/>
    <mergeCell ref="D23:E24"/>
    <mergeCell ref="F23:G24"/>
    <mergeCell ref="H23:I24"/>
    <mergeCell ref="J23:K24"/>
    <mergeCell ref="L23:M24"/>
    <mergeCell ref="A25:B26"/>
    <mergeCell ref="C25:D26"/>
    <mergeCell ref="E25:F26"/>
    <mergeCell ref="G25:H26"/>
    <mergeCell ref="I25:J26"/>
    <mergeCell ref="K25:L26"/>
    <mergeCell ref="M25:N26"/>
    <mergeCell ref="AB23:AC24"/>
    <mergeCell ref="AD23:AE24"/>
    <mergeCell ref="AF23:AG24"/>
    <mergeCell ref="AH23:AI24"/>
    <mergeCell ref="AJ23:AK24"/>
    <mergeCell ref="AL23:AM24"/>
    <mergeCell ref="AN23:AO24"/>
    <mergeCell ref="AU29:AV30"/>
    <mergeCell ref="AW29:AX30"/>
    <mergeCell ref="AG29:AH30"/>
    <mergeCell ref="AI29:AJ30"/>
    <mergeCell ref="AK29:AL30"/>
    <mergeCell ref="AM29:AN30"/>
    <mergeCell ref="AO29:AP30"/>
    <mergeCell ref="AQ29:AR30"/>
    <mergeCell ref="AS29:AT30"/>
    <mergeCell ref="AC25:AD26"/>
    <mergeCell ref="AE25:AF26"/>
    <mergeCell ref="O25:P26"/>
    <mergeCell ref="Q25:R26"/>
    <mergeCell ref="S25:T26"/>
    <mergeCell ref="U25:V26"/>
    <mergeCell ref="W25:X26"/>
    <mergeCell ref="Y25:Z26"/>
    <mergeCell ref="AA25:AB26"/>
    <mergeCell ref="N27:O28"/>
    <mergeCell ref="P27:Q28"/>
    <mergeCell ref="R27:S28"/>
    <mergeCell ref="T27:U28"/>
    <mergeCell ref="V27:W28"/>
    <mergeCell ref="X27:Y28"/>
    <mergeCell ref="Z27:AA28"/>
    <mergeCell ref="AP27:AQ28"/>
    <mergeCell ref="AR27:AS28"/>
    <mergeCell ref="AT27:AU28"/>
    <mergeCell ref="AV27:AW28"/>
    <mergeCell ref="AX27:AY28"/>
    <mergeCell ref="AZ27:AZ28"/>
    <mergeCell ref="AY29:AZ30"/>
    <mergeCell ref="A27:A28"/>
    <mergeCell ref="B27:C28"/>
    <mergeCell ref="D27:E28"/>
    <mergeCell ref="F27:G28"/>
    <mergeCell ref="H27:I28"/>
    <mergeCell ref="J27:K28"/>
    <mergeCell ref="L27:M28"/>
    <mergeCell ref="A29:B30"/>
    <mergeCell ref="C29:D30"/>
    <mergeCell ref="E29:F30"/>
    <mergeCell ref="G29:H30"/>
    <mergeCell ref="I29:J30"/>
    <mergeCell ref="K29:L30"/>
    <mergeCell ref="M29:N30"/>
    <mergeCell ref="AB27:AC28"/>
    <mergeCell ref="AD27:AE28"/>
    <mergeCell ref="AF27:AG28"/>
    <mergeCell ref="AH27:AI28"/>
    <mergeCell ref="AJ27:AK28"/>
    <mergeCell ref="AL27:AM28"/>
    <mergeCell ref="AN27:AO28"/>
    <mergeCell ref="AU33:AV34"/>
    <mergeCell ref="AW33:AX34"/>
    <mergeCell ref="AG33:AH34"/>
    <mergeCell ref="AI33:AJ34"/>
    <mergeCell ref="AK33:AL34"/>
    <mergeCell ref="AM33:AN34"/>
    <mergeCell ref="AO33:AP34"/>
    <mergeCell ref="AQ33:AR34"/>
    <mergeCell ref="AS33:AT34"/>
    <mergeCell ref="AC29:AD30"/>
    <mergeCell ref="AE29:AF30"/>
    <mergeCell ref="O29:P30"/>
    <mergeCell ref="Q29:R30"/>
    <mergeCell ref="S29:T30"/>
    <mergeCell ref="U29:V30"/>
    <mergeCell ref="W29:X30"/>
    <mergeCell ref="Y29:Z30"/>
    <mergeCell ref="AA29:AB30"/>
    <mergeCell ref="N31:O32"/>
    <mergeCell ref="P31:Q32"/>
    <mergeCell ref="R31:S32"/>
    <mergeCell ref="T31:U32"/>
    <mergeCell ref="V31:W32"/>
    <mergeCell ref="X31:Y32"/>
    <mergeCell ref="Z31:AA32"/>
    <mergeCell ref="AP31:AQ32"/>
    <mergeCell ref="AR31:AS32"/>
    <mergeCell ref="AT31:AU32"/>
    <mergeCell ref="AV31:AW32"/>
    <mergeCell ref="AX31:AY32"/>
    <mergeCell ref="AZ31:AZ32"/>
    <mergeCell ref="AY33:AZ34"/>
    <mergeCell ref="A31:A32"/>
    <mergeCell ref="B31:C32"/>
    <mergeCell ref="D31:E32"/>
    <mergeCell ref="F31:G32"/>
    <mergeCell ref="H31:I32"/>
    <mergeCell ref="J31:K32"/>
    <mergeCell ref="L31:M32"/>
    <mergeCell ref="A33:B34"/>
    <mergeCell ref="C33:D34"/>
    <mergeCell ref="E33:F34"/>
    <mergeCell ref="G33:H34"/>
    <mergeCell ref="I33:J34"/>
    <mergeCell ref="K33:L34"/>
    <mergeCell ref="M33:N34"/>
    <mergeCell ref="AB31:AC32"/>
    <mergeCell ref="AD31:AE32"/>
    <mergeCell ref="AF31:AG32"/>
    <mergeCell ref="AH31:AI32"/>
    <mergeCell ref="AJ31:AK32"/>
    <mergeCell ref="AL31:AM32"/>
    <mergeCell ref="AN31:AO32"/>
    <mergeCell ref="AU37:AV38"/>
    <mergeCell ref="AW37:AX38"/>
    <mergeCell ref="AG37:AH38"/>
    <mergeCell ref="AI37:AJ38"/>
    <mergeCell ref="AK37:AL38"/>
    <mergeCell ref="AM37:AN38"/>
    <mergeCell ref="AO37:AP38"/>
    <mergeCell ref="AQ37:AR38"/>
    <mergeCell ref="AS37:AT38"/>
    <mergeCell ref="AC33:AD34"/>
    <mergeCell ref="AE33:AF34"/>
    <mergeCell ref="O33:P34"/>
    <mergeCell ref="Q33:R34"/>
    <mergeCell ref="S33:T34"/>
    <mergeCell ref="U33:V34"/>
    <mergeCell ref="W33:X34"/>
    <mergeCell ref="Y33:Z34"/>
    <mergeCell ref="AA33:AB34"/>
    <mergeCell ref="N35:O36"/>
    <mergeCell ref="P35:Q36"/>
    <mergeCell ref="R35:S36"/>
    <mergeCell ref="T35:U36"/>
    <mergeCell ref="V35:W36"/>
    <mergeCell ref="X35:Y36"/>
    <mergeCell ref="Z35:AA36"/>
    <mergeCell ref="AP35:AQ36"/>
    <mergeCell ref="AR35:AS36"/>
    <mergeCell ref="AT35:AU36"/>
    <mergeCell ref="AV35:AW36"/>
    <mergeCell ref="AX35:AY36"/>
    <mergeCell ref="AZ35:AZ36"/>
    <mergeCell ref="AY37:AZ38"/>
    <mergeCell ref="A35:A36"/>
    <mergeCell ref="B35:C36"/>
    <mergeCell ref="D35:E36"/>
    <mergeCell ref="F35:G36"/>
    <mergeCell ref="H35:I36"/>
    <mergeCell ref="J35:K36"/>
    <mergeCell ref="L35:M36"/>
    <mergeCell ref="A37:B38"/>
    <mergeCell ref="C37:D38"/>
    <mergeCell ref="E37:F38"/>
    <mergeCell ref="G37:H38"/>
    <mergeCell ref="I37:J38"/>
    <mergeCell ref="K37:L38"/>
    <mergeCell ref="M37:N38"/>
    <mergeCell ref="AB35:AC36"/>
    <mergeCell ref="AD35:AE36"/>
    <mergeCell ref="AF35:AG36"/>
    <mergeCell ref="AH35:AI36"/>
    <mergeCell ref="AJ35:AK36"/>
    <mergeCell ref="AL35:AM36"/>
    <mergeCell ref="AN35:AO36"/>
    <mergeCell ref="AU41:AV42"/>
    <mergeCell ref="AW41:AX42"/>
    <mergeCell ref="AG41:AH42"/>
    <mergeCell ref="AI41:AJ42"/>
    <mergeCell ref="AK41:AL42"/>
    <mergeCell ref="AM41:AN42"/>
    <mergeCell ref="AO41:AP42"/>
    <mergeCell ref="AQ41:AR42"/>
    <mergeCell ref="AS41:AT42"/>
    <mergeCell ref="AC37:AD38"/>
    <mergeCell ref="AE37:AF38"/>
    <mergeCell ref="O37:P38"/>
    <mergeCell ref="Q37:R38"/>
    <mergeCell ref="S37:T38"/>
    <mergeCell ref="U37:V38"/>
    <mergeCell ref="W37:X38"/>
    <mergeCell ref="Y37:Z38"/>
    <mergeCell ref="AA37:AB38"/>
    <mergeCell ref="N39:O40"/>
    <mergeCell ref="P39:Q40"/>
    <mergeCell ref="R39:S40"/>
    <mergeCell ref="T39:U40"/>
    <mergeCell ref="V39:W40"/>
    <mergeCell ref="X39:Y40"/>
    <mergeCell ref="Z39:AA40"/>
    <mergeCell ref="AP39:AQ40"/>
    <mergeCell ref="AR39:AS40"/>
    <mergeCell ref="AT39:AU40"/>
    <mergeCell ref="AV39:AW40"/>
    <mergeCell ref="AX39:AY40"/>
    <mergeCell ref="AZ39:AZ40"/>
    <mergeCell ref="AY41:AZ42"/>
    <mergeCell ref="A39:A40"/>
    <mergeCell ref="B39:C40"/>
    <mergeCell ref="D39:E40"/>
    <mergeCell ref="F39:G40"/>
    <mergeCell ref="H39:I40"/>
    <mergeCell ref="J39:K40"/>
    <mergeCell ref="L39:M40"/>
    <mergeCell ref="A41:B42"/>
    <mergeCell ref="C41:D42"/>
    <mergeCell ref="E41:F42"/>
    <mergeCell ref="G41:H42"/>
    <mergeCell ref="I41:J42"/>
    <mergeCell ref="K41:L42"/>
    <mergeCell ref="M41:N42"/>
    <mergeCell ref="AB39:AC40"/>
    <mergeCell ref="AD39:AE40"/>
    <mergeCell ref="AF39:AG40"/>
    <mergeCell ref="AH39:AI40"/>
    <mergeCell ref="AJ39:AK40"/>
    <mergeCell ref="AL39:AM40"/>
    <mergeCell ref="AN39:AO40"/>
    <mergeCell ref="AT63:AU64"/>
    <mergeCell ref="AV63:AW64"/>
    <mergeCell ref="AF63:AG64"/>
    <mergeCell ref="AH63:AI64"/>
    <mergeCell ref="AJ63:AK64"/>
    <mergeCell ref="AL63:AM64"/>
    <mergeCell ref="AN63:AO64"/>
    <mergeCell ref="AP63:AQ64"/>
    <mergeCell ref="AR63:AS64"/>
    <mergeCell ref="AB59:AC60"/>
    <mergeCell ref="AD59:AE60"/>
    <mergeCell ref="N59:O60"/>
    <mergeCell ref="P59:Q60"/>
    <mergeCell ref="R59:S60"/>
    <mergeCell ref="T59:U60"/>
    <mergeCell ref="V59:W60"/>
    <mergeCell ref="X59:Y60"/>
    <mergeCell ref="Z59:AA60"/>
    <mergeCell ref="O61:P62"/>
    <mergeCell ref="Q61:R62"/>
    <mergeCell ref="S61:T62"/>
    <mergeCell ref="U61:V62"/>
    <mergeCell ref="W61:X62"/>
    <mergeCell ref="Y61:Z62"/>
    <mergeCell ref="AA61:AB62"/>
    <mergeCell ref="AQ61:AR62"/>
    <mergeCell ref="AS61:AT62"/>
    <mergeCell ref="AU61:AV62"/>
    <mergeCell ref="AW61:AX62"/>
    <mergeCell ref="AY61:AZ62"/>
    <mergeCell ref="A61:B62"/>
    <mergeCell ref="C61:D62"/>
    <mergeCell ref="E61:F62"/>
    <mergeCell ref="G61:H62"/>
    <mergeCell ref="I61:J62"/>
    <mergeCell ref="K61:L62"/>
    <mergeCell ref="M61:N62"/>
    <mergeCell ref="AC61:AD62"/>
    <mergeCell ref="AE61:AF62"/>
    <mergeCell ref="AG61:AH62"/>
    <mergeCell ref="AI61:AJ62"/>
    <mergeCell ref="AK61:AL62"/>
    <mergeCell ref="AM61:AN62"/>
    <mergeCell ref="AO61:AP62"/>
    <mergeCell ref="A63:A64"/>
    <mergeCell ref="B63:C64"/>
    <mergeCell ref="D63:E64"/>
    <mergeCell ref="F63:G64"/>
    <mergeCell ref="H63:I64"/>
    <mergeCell ref="J63:K64"/>
    <mergeCell ref="L63:M64"/>
    <mergeCell ref="O65:P66"/>
    <mergeCell ref="Q65:R66"/>
    <mergeCell ref="S65:T66"/>
    <mergeCell ref="U65:V66"/>
    <mergeCell ref="W65:X66"/>
    <mergeCell ref="Y65:Z66"/>
    <mergeCell ref="AA65:AB66"/>
    <mergeCell ref="AQ65:AR66"/>
    <mergeCell ref="AS65:AT66"/>
    <mergeCell ref="AU65:AV66"/>
    <mergeCell ref="AW65:AX66"/>
    <mergeCell ref="AY65:AZ66"/>
    <mergeCell ref="AC65:AD66"/>
    <mergeCell ref="AE65:AF66"/>
    <mergeCell ref="AG65:AH66"/>
    <mergeCell ref="AI65:AJ66"/>
    <mergeCell ref="AK65:AL66"/>
    <mergeCell ref="AM65:AN66"/>
    <mergeCell ref="AO65:AP66"/>
    <mergeCell ref="A65:B66"/>
    <mergeCell ref="C65:D66"/>
    <mergeCell ref="E65:F66"/>
    <mergeCell ref="G65:H66"/>
    <mergeCell ref="I65:J66"/>
    <mergeCell ref="K65:L66"/>
    <mergeCell ref="M65:N66"/>
    <mergeCell ref="O68:P68"/>
    <mergeCell ref="Q68:R69"/>
    <mergeCell ref="S68:T68"/>
    <mergeCell ref="U68:V69"/>
    <mergeCell ref="W68:X68"/>
    <mergeCell ref="Y68:Z69"/>
    <mergeCell ref="AA68:AB68"/>
    <mergeCell ref="AQ68:AR68"/>
    <mergeCell ref="AS68:AT69"/>
    <mergeCell ref="AU68:AV68"/>
    <mergeCell ref="AW68:AX69"/>
    <mergeCell ref="AY68:AZ68"/>
    <mergeCell ref="AC68:AD69"/>
    <mergeCell ref="AE68:AF68"/>
    <mergeCell ref="AG68:AH69"/>
    <mergeCell ref="AI68:AJ68"/>
    <mergeCell ref="AK68:AL69"/>
    <mergeCell ref="AM68:AN68"/>
    <mergeCell ref="AO68:AP69"/>
    <mergeCell ref="G68:H68"/>
    <mergeCell ref="G69:H70"/>
    <mergeCell ref="AM69:AN70"/>
    <mergeCell ref="AQ69:AR70"/>
    <mergeCell ref="AU69:AV70"/>
    <mergeCell ref="AY69:AZ70"/>
    <mergeCell ref="AO70:AP71"/>
    <mergeCell ref="AS70:AT71"/>
    <mergeCell ref="AW70:AX71"/>
    <mergeCell ref="K69:L70"/>
    <mergeCell ref="O69:P70"/>
    <mergeCell ref="S69:T70"/>
    <mergeCell ref="W69:X70"/>
    <mergeCell ref="AA69:AB70"/>
    <mergeCell ref="AE69:AF70"/>
    <mergeCell ref="AI69:AJ70"/>
    <mergeCell ref="M68:N69"/>
    <mergeCell ref="M70:N71"/>
    <mergeCell ref="Q70:R71"/>
    <mergeCell ref="U70:V71"/>
    <mergeCell ref="Y70:Z71"/>
    <mergeCell ref="AC70:AD71"/>
    <mergeCell ref="AG70:AH71"/>
    <mergeCell ref="AK70:AL71"/>
    <mergeCell ref="AE71:AF72"/>
    <mergeCell ref="AI71:AJ72"/>
    <mergeCell ref="AM71:AN72"/>
    <mergeCell ref="AQ71:AR72"/>
    <mergeCell ref="AU71:AV72"/>
    <mergeCell ref="AY71:AZ72"/>
    <mergeCell ref="C71:D72"/>
    <mergeCell ref="G71:H72"/>
    <mergeCell ref="K71:L72"/>
    <mergeCell ref="O71:P72"/>
    <mergeCell ref="S71:T72"/>
    <mergeCell ref="W71:X72"/>
    <mergeCell ref="AA71:AB72"/>
    <mergeCell ref="AC72:AD73"/>
    <mergeCell ref="AG72:AH73"/>
    <mergeCell ref="AK72:AL73"/>
    <mergeCell ref="AO72:AP73"/>
    <mergeCell ref="AS72:AT73"/>
    <mergeCell ref="AW72:AX73"/>
    <mergeCell ref="A72:B73"/>
    <mergeCell ref="E72:F73"/>
    <mergeCell ref="I72:J73"/>
    <mergeCell ref="M72:N73"/>
    <mergeCell ref="Q72:R73"/>
    <mergeCell ref="U72:V73"/>
    <mergeCell ref="Y72:Z73"/>
    <mergeCell ref="A78:B79"/>
    <mergeCell ref="E78:F79"/>
    <mergeCell ref="I78:J79"/>
    <mergeCell ref="M78:N79"/>
    <mergeCell ref="Q78:R79"/>
    <mergeCell ref="U78:V79"/>
    <mergeCell ref="Y78:Z79"/>
    <mergeCell ref="C79:D80"/>
    <mergeCell ref="G79:H80"/>
    <mergeCell ref="K79:L80"/>
    <mergeCell ref="O79:P80"/>
    <mergeCell ref="S79:T80"/>
    <mergeCell ref="W79:X80"/>
    <mergeCell ref="AA79:AB80"/>
    <mergeCell ref="AC80:AD81"/>
    <mergeCell ref="AG80:AH81"/>
    <mergeCell ref="AK80:AL81"/>
    <mergeCell ref="AO80:AP81"/>
    <mergeCell ref="AS80:AT81"/>
    <mergeCell ref="AW80:AX81"/>
    <mergeCell ref="A80:B81"/>
    <mergeCell ref="E80:F81"/>
    <mergeCell ref="I80:J81"/>
    <mergeCell ref="M80:N81"/>
    <mergeCell ref="Q80:R81"/>
    <mergeCell ref="U80:V81"/>
    <mergeCell ref="Y80:Z81"/>
    <mergeCell ref="AE81:AF82"/>
    <mergeCell ref="AI81:AJ82"/>
    <mergeCell ref="AM81:AN82"/>
    <mergeCell ref="AQ81:AR82"/>
    <mergeCell ref="AU81:AV82"/>
    <mergeCell ref="AY81:AZ82"/>
    <mergeCell ref="C81:D82"/>
    <mergeCell ref="G81:H82"/>
    <mergeCell ref="K81:L82"/>
    <mergeCell ref="O81:P82"/>
    <mergeCell ref="S81:T82"/>
    <mergeCell ref="W81:X82"/>
    <mergeCell ref="AA81:AB8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75"/>
    <col customWidth="1" min="2" max="2" width="51.13"/>
    <col customWidth="1" min="3" max="3" width="2.88"/>
    <col customWidth="1" min="4" max="4" width="22.38"/>
    <col customWidth="1" min="5" max="5" width="50.88"/>
    <col customWidth="1" min="6" max="19" width="2.88"/>
  </cols>
  <sheetData>
    <row r="1">
      <c r="A1" s="1" t="s">
        <v>4</v>
      </c>
      <c r="B1" s="1" t="s">
        <v>5</v>
      </c>
      <c r="D1" s="1" t="s">
        <v>6</v>
      </c>
      <c r="E1" s="1" t="s">
        <v>5</v>
      </c>
      <c r="F1" s="6"/>
      <c r="G1" s="1" t="s">
        <v>7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>
      <c r="A2" s="7" t="s">
        <v>8</v>
      </c>
      <c r="B2" s="5" t="s">
        <v>9</v>
      </c>
      <c r="D2" s="8" t="s">
        <v>10</v>
      </c>
      <c r="E2" s="6" t="s">
        <v>11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>
      <c r="A3" s="7" t="s">
        <v>12</v>
      </c>
      <c r="B3" s="5" t="s">
        <v>13</v>
      </c>
      <c r="D3" s="8" t="s">
        <v>14</v>
      </c>
      <c r="E3" s="9" t="s">
        <v>15</v>
      </c>
      <c r="F3" s="9"/>
      <c r="G3" s="10" t="s">
        <v>16</v>
      </c>
      <c r="H3" s="10" t="s">
        <v>17</v>
      </c>
      <c r="I3" s="10" t="s">
        <v>18</v>
      </c>
      <c r="J3" s="10" t="s">
        <v>19</v>
      </c>
      <c r="K3" s="10" t="s">
        <v>20</v>
      </c>
      <c r="L3" s="10" t="s">
        <v>21</v>
      </c>
      <c r="M3" s="11"/>
      <c r="N3" s="10" t="s">
        <v>22</v>
      </c>
      <c r="O3" s="10" t="s">
        <v>23</v>
      </c>
      <c r="P3" s="10" t="s">
        <v>24</v>
      </c>
      <c r="Q3" s="11"/>
      <c r="R3" s="10" t="s">
        <v>25</v>
      </c>
      <c r="S3" s="11"/>
    </row>
    <row r="4">
      <c r="A4" s="7" t="s">
        <v>26</v>
      </c>
      <c r="B4" s="5" t="s">
        <v>27</v>
      </c>
      <c r="D4" s="12"/>
      <c r="E4" s="12"/>
      <c r="F4" s="12"/>
      <c r="G4" s="10" t="s">
        <v>28</v>
      </c>
      <c r="H4" s="13" t="s">
        <v>29</v>
      </c>
      <c r="I4" s="10" t="s">
        <v>30</v>
      </c>
      <c r="J4" s="10" t="s">
        <v>31</v>
      </c>
      <c r="K4" s="13" t="s">
        <v>32</v>
      </c>
      <c r="L4" s="13" t="s">
        <v>33</v>
      </c>
      <c r="M4" s="14"/>
      <c r="N4" s="13" t="s">
        <v>34</v>
      </c>
      <c r="O4" s="13" t="s">
        <v>35</v>
      </c>
      <c r="P4" s="13" t="s">
        <v>36</v>
      </c>
      <c r="Q4" s="14"/>
      <c r="R4" s="13" t="s">
        <v>37</v>
      </c>
      <c r="S4" s="14"/>
    </row>
    <row r="5">
      <c r="A5" s="7" t="s">
        <v>38</v>
      </c>
      <c r="B5" s="5" t="s">
        <v>39</v>
      </c>
      <c r="D5" s="15" t="s">
        <v>40</v>
      </c>
      <c r="E5" s="12" t="s">
        <v>41</v>
      </c>
      <c r="F5" s="12"/>
      <c r="G5" s="11"/>
      <c r="H5" s="11"/>
      <c r="I5" s="11"/>
      <c r="J5" s="14"/>
      <c r="K5" s="14"/>
      <c r="L5" s="14"/>
      <c r="M5" s="14"/>
      <c r="N5" s="13" t="s">
        <v>42</v>
      </c>
      <c r="O5" s="13" t="s">
        <v>43</v>
      </c>
      <c r="P5" s="13" t="s">
        <v>44</v>
      </c>
      <c r="Q5" s="14"/>
      <c r="R5" s="13" t="s">
        <v>45</v>
      </c>
      <c r="S5" s="14"/>
    </row>
    <row r="6">
      <c r="D6" s="15" t="s">
        <v>46</v>
      </c>
      <c r="E6" s="12" t="s">
        <v>47</v>
      </c>
      <c r="F6" s="12"/>
      <c r="G6" s="14"/>
      <c r="H6" s="11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</row>
    <row r="7">
      <c r="A7" s="16"/>
      <c r="B7" s="17"/>
      <c r="D7" s="15" t="s">
        <v>48</v>
      </c>
      <c r="E7" s="12" t="s">
        <v>49</v>
      </c>
      <c r="F7" s="12"/>
      <c r="G7" s="13" t="s">
        <v>50</v>
      </c>
      <c r="H7" s="13" t="s">
        <v>51</v>
      </c>
      <c r="I7" s="13" t="s">
        <v>52</v>
      </c>
      <c r="J7" s="13" t="s">
        <v>53</v>
      </c>
      <c r="K7" s="13" t="s">
        <v>54</v>
      </c>
      <c r="L7" s="13" t="s">
        <v>55</v>
      </c>
      <c r="M7" s="13" t="s">
        <v>56</v>
      </c>
      <c r="N7" s="13" t="s">
        <v>57</v>
      </c>
      <c r="O7" s="13" t="s">
        <v>58</v>
      </c>
      <c r="P7" s="13" t="s">
        <v>59</v>
      </c>
      <c r="Q7" s="13" t="s">
        <v>60</v>
      </c>
      <c r="R7" s="13" t="s">
        <v>61</v>
      </c>
      <c r="S7" s="13" t="s">
        <v>62</v>
      </c>
    </row>
    <row r="8">
      <c r="A8" s="16"/>
      <c r="B8" s="17"/>
      <c r="D8" s="15" t="s">
        <v>63</v>
      </c>
      <c r="E8" s="12" t="s">
        <v>64</v>
      </c>
      <c r="F8" s="12"/>
      <c r="G8" s="13" t="s">
        <v>65</v>
      </c>
      <c r="H8" s="13" t="s">
        <v>66</v>
      </c>
      <c r="I8" s="13" t="s">
        <v>67</v>
      </c>
      <c r="J8" s="13" t="s">
        <v>68</v>
      </c>
      <c r="K8" s="13" t="s">
        <v>69</v>
      </c>
      <c r="L8" s="13" t="s">
        <v>70</v>
      </c>
      <c r="M8" s="13" t="s">
        <v>71</v>
      </c>
      <c r="N8" s="13" t="s">
        <v>72</v>
      </c>
      <c r="O8" s="13" t="s">
        <v>73</v>
      </c>
      <c r="P8" s="13" t="s">
        <v>74</v>
      </c>
      <c r="Q8" s="13" t="s">
        <v>75</v>
      </c>
      <c r="R8" s="13" t="s">
        <v>76</v>
      </c>
      <c r="S8" s="13" t="s">
        <v>77</v>
      </c>
    </row>
    <row r="9">
      <c r="A9" s="16"/>
      <c r="B9" s="17"/>
      <c r="D9" s="12"/>
      <c r="E9" s="12"/>
      <c r="F9" s="12"/>
      <c r="G9" s="14"/>
      <c r="H9" s="13" t="s">
        <v>78</v>
      </c>
      <c r="I9" s="13" t="s">
        <v>79</v>
      </c>
      <c r="J9" s="13" t="s">
        <v>80</v>
      </c>
      <c r="K9" s="13" t="s">
        <v>81</v>
      </c>
      <c r="L9" s="13" t="s">
        <v>82</v>
      </c>
      <c r="M9" s="13" t="s">
        <v>83</v>
      </c>
      <c r="N9" s="13" t="s">
        <v>84</v>
      </c>
      <c r="O9" s="13" t="s">
        <v>85</v>
      </c>
      <c r="P9" s="13" t="s">
        <v>86</v>
      </c>
      <c r="Q9" s="13" t="s">
        <v>87</v>
      </c>
      <c r="R9" s="13" t="s">
        <v>88</v>
      </c>
      <c r="S9" s="14"/>
    </row>
    <row r="10">
      <c r="A10" s="18"/>
      <c r="B10" s="19"/>
      <c r="D10" s="20" t="s">
        <v>89</v>
      </c>
      <c r="E10" s="9" t="s">
        <v>90</v>
      </c>
      <c r="F10" s="9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</row>
    <row r="11">
      <c r="A11" s="18"/>
      <c r="D11" s="15" t="s">
        <v>91</v>
      </c>
      <c r="E11" s="12" t="s">
        <v>92</v>
      </c>
      <c r="F11" s="12"/>
      <c r="G11" s="13" t="s">
        <v>93</v>
      </c>
      <c r="H11" s="13" t="s">
        <v>94</v>
      </c>
      <c r="I11" s="13" t="s">
        <v>95</v>
      </c>
      <c r="J11" s="14"/>
      <c r="K11" s="13" t="s">
        <v>96</v>
      </c>
      <c r="L11" s="13" t="s">
        <v>97</v>
      </c>
      <c r="M11" s="14"/>
      <c r="N11" s="13" t="s">
        <v>98</v>
      </c>
      <c r="O11" s="14"/>
      <c r="P11" s="13" t="s">
        <v>99</v>
      </c>
      <c r="Q11" s="13" t="s">
        <v>100</v>
      </c>
      <c r="R11" s="13" t="s">
        <v>101</v>
      </c>
      <c r="S11" s="13" t="s">
        <v>102</v>
      </c>
    </row>
    <row r="12">
      <c r="A12" s="18"/>
      <c r="B12" s="5"/>
      <c r="D12" s="21" t="s">
        <v>103</v>
      </c>
      <c r="E12" s="12" t="s">
        <v>104</v>
      </c>
      <c r="F12" s="12"/>
      <c r="G12" s="13" t="s">
        <v>105</v>
      </c>
      <c r="H12" s="13" t="s">
        <v>106</v>
      </c>
      <c r="I12" s="13" t="s">
        <v>107</v>
      </c>
      <c r="J12" s="14"/>
      <c r="K12" s="13" t="s">
        <v>108</v>
      </c>
      <c r="L12" s="13" t="s">
        <v>109</v>
      </c>
      <c r="M12" s="14"/>
      <c r="N12" s="13" t="s">
        <v>110</v>
      </c>
      <c r="O12" s="14"/>
      <c r="P12" s="13" t="s">
        <v>111</v>
      </c>
      <c r="Q12" s="13" t="s">
        <v>112</v>
      </c>
      <c r="R12" s="13" t="s">
        <v>113</v>
      </c>
      <c r="S12" s="13" t="s">
        <v>114</v>
      </c>
    </row>
    <row r="13">
      <c r="A13" s="16"/>
      <c r="B13" s="17"/>
      <c r="D13" s="22" t="s">
        <v>115</v>
      </c>
      <c r="E13" s="9" t="s">
        <v>116</v>
      </c>
      <c r="F13" s="9"/>
      <c r="G13" s="10" t="s">
        <v>117</v>
      </c>
      <c r="H13" s="10" t="s">
        <v>118</v>
      </c>
      <c r="I13" s="10" t="s">
        <v>119</v>
      </c>
      <c r="J13" s="11"/>
      <c r="K13" s="10" t="s">
        <v>120</v>
      </c>
      <c r="L13" s="10" t="s">
        <v>121</v>
      </c>
      <c r="M13" s="11"/>
      <c r="N13" s="11"/>
      <c r="O13" s="11"/>
      <c r="P13" s="11"/>
      <c r="Q13" s="11"/>
      <c r="R13" s="11"/>
      <c r="S13" s="11"/>
    </row>
    <row r="14">
      <c r="A14" s="16"/>
      <c r="B14" s="17"/>
      <c r="D14" s="15" t="s">
        <v>122</v>
      </c>
      <c r="E14" s="12" t="s">
        <v>123</v>
      </c>
      <c r="F14" s="12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>
      <c r="A15" s="16"/>
      <c r="B15" s="17"/>
      <c r="D15" s="23" t="s">
        <v>124</v>
      </c>
      <c r="E15" s="5" t="s">
        <v>125</v>
      </c>
      <c r="F15" s="5"/>
      <c r="G15" s="10" t="s">
        <v>126</v>
      </c>
      <c r="H15" s="10" t="s">
        <v>127</v>
      </c>
      <c r="I15" s="10" t="s">
        <v>128</v>
      </c>
      <c r="J15" s="10" t="s">
        <v>129</v>
      </c>
      <c r="K15" s="24"/>
      <c r="L15" s="24"/>
      <c r="M15" s="24"/>
      <c r="N15" s="24"/>
      <c r="O15" s="24"/>
      <c r="P15" s="11"/>
      <c r="Q15" s="11"/>
      <c r="R15" s="11"/>
      <c r="S15" s="11"/>
    </row>
    <row r="16">
      <c r="A16" s="16"/>
      <c r="B16" s="19"/>
      <c r="G16" s="13" t="s">
        <v>130</v>
      </c>
      <c r="H16" s="25" t="s">
        <v>131</v>
      </c>
      <c r="I16" s="26"/>
      <c r="J16" s="26"/>
      <c r="K16" s="26"/>
      <c r="L16" s="26"/>
      <c r="M16" s="26"/>
      <c r="N16" s="26"/>
      <c r="O16" s="26"/>
      <c r="P16" s="14"/>
      <c r="Q16" s="14"/>
      <c r="R16" s="14"/>
      <c r="S16" s="14"/>
    </row>
    <row r="17">
      <c r="A17" s="16"/>
      <c r="B17" s="17"/>
      <c r="D17" s="1" t="s">
        <v>132</v>
      </c>
    </row>
    <row r="18">
      <c r="A18" s="16"/>
      <c r="B18" s="17"/>
      <c r="D18" s="5" t="s">
        <v>133</v>
      </c>
      <c r="G18" s="1" t="s">
        <v>134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>
      <c r="A19" s="16"/>
      <c r="B19" s="17"/>
      <c r="D19" s="5" t="s">
        <v>135</v>
      </c>
      <c r="G19" s="5" t="s">
        <v>136</v>
      </c>
    </row>
    <row r="20">
      <c r="A20" s="16"/>
      <c r="B20" s="17"/>
      <c r="G20" s="5" t="s">
        <v>137</v>
      </c>
    </row>
    <row r="21">
      <c r="A21" s="16"/>
      <c r="B21" s="17"/>
      <c r="G21" s="5" t="s">
        <v>138</v>
      </c>
    </row>
    <row r="22">
      <c r="A22" s="16"/>
      <c r="B22" s="17"/>
      <c r="G22" s="5">
        <v>1.0</v>
      </c>
      <c r="H22" s="5" t="s">
        <v>139</v>
      </c>
    </row>
    <row r="23">
      <c r="A23" s="16"/>
      <c r="B23" s="17"/>
      <c r="G23" s="5">
        <v>2.0</v>
      </c>
      <c r="H23" s="5" t="s">
        <v>140</v>
      </c>
      <c r="P23" s="5">
        <v>1.0</v>
      </c>
    </row>
    <row r="24">
      <c r="A24" s="18"/>
      <c r="B24" s="19"/>
      <c r="G24" s="5">
        <v>3.0</v>
      </c>
      <c r="H24" s="5" t="s">
        <v>141</v>
      </c>
      <c r="O24" s="5">
        <v>4.0</v>
      </c>
      <c r="P24" s="27">
        <v>7.0</v>
      </c>
      <c r="Q24" s="5">
        <v>2.0</v>
      </c>
    </row>
    <row r="25">
      <c r="A25" s="18"/>
      <c r="B25" s="19"/>
      <c r="G25" s="5">
        <v>4.0</v>
      </c>
      <c r="H25" s="5" t="s">
        <v>142</v>
      </c>
      <c r="P25" s="5">
        <v>3.0</v>
      </c>
    </row>
    <row r="26">
      <c r="A26" s="16"/>
      <c r="B26" s="17"/>
      <c r="G26" s="5">
        <v>5.0</v>
      </c>
      <c r="H26" s="5" t="s">
        <v>143</v>
      </c>
    </row>
    <row r="27">
      <c r="A27" s="16"/>
      <c r="B27" s="17"/>
      <c r="G27" s="5">
        <v>6.0</v>
      </c>
      <c r="H27" s="5" t="s">
        <v>144</v>
      </c>
    </row>
    <row r="28">
      <c r="A28" s="16"/>
      <c r="B28" s="17"/>
      <c r="G28" s="5">
        <v>7.0</v>
      </c>
      <c r="H28" s="5" t="s">
        <v>145</v>
      </c>
    </row>
    <row r="29">
      <c r="A29" s="16"/>
      <c r="B29" s="17"/>
    </row>
    <row r="30">
      <c r="A30" s="16"/>
      <c r="B30" s="17"/>
      <c r="G30" s="26" t="s">
        <v>146</v>
      </c>
    </row>
    <row r="31">
      <c r="A31" s="16"/>
      <c r="B31" s="17"/>
      <c r="G31" s="26" t="s">
        <v>147</v>
      </c>
    </row>
    <row r="32">
      <c r="A32" s="16"/>
      <c r="B32" s="17"/>
      <c r="C32" s="28"/>
    </row>
    <row r="33">
      <c r="A33" s="16"/>
      <c r="B33" s="17"/>
    </row>
    <row r="34">
      <c r="A34" s="16"/>
      <c r="B34" s="17"/>
    </row>
    <row r="35">
      <c r="A35" s="16"/>
      <c r="B35" s="17"/>
    </row>
    <row r="36">
      <c r="A36" s="16"/>
      <c r="B36" s="17"/>
    </row>
    <row r="37">
      <c r="A37" s="16"/>
      <c r="B37" s="17"/>
    </row>
    <row r="38">
      <c r="A38" s="16"/>
      <c r="B38" s="17"/>
    </row>
    <row r="39">
      <c r="A39" s="16"/>
      <c r="B39" s="17"/>
    </row>
    <row r="40">
      <c r="A40" s="16"/>
      <c r="B40" s="17"/>
    </row>
    <row r="41">
      <c r="A41" s="16"/>
      <c r="B41" s="17"/>
    </row>
    <row r="42">
      <c r="A42" s="16"/>
      <c r="B42" s="17"/>
    </row>
    <row r="43">
      <c r="A43" s="16"/>
      <c r="B43" s="17"/>
    </row>
    <row r="44">
      <c r="A44" s="16"/>
      <c r="B44" s="17"/>
    </row>
    <row r="45">
      <c r="A45" s="16"/>
      <c r="B45" s="17"/>
    </row>
    <row r="46">
      <c r="A46" s="16"/>
      <c r="B46" s="17"/>
    </row>
    <row r="47">
      <c r="A47" s="16"/>
      <c r="B47" s="17"/>
    </row>
    <row r="48">
      <c r="A48" s="16"/>
      <c r="B48" s="17"/>
    </row>
    <row r="49">
      <c r="A49" s="16"/>
      <c r="B49" s="17"/>
    </row>
    <row r="50">
      <c r="A50" s="16"/>
      <c r="B50" s="17"/>
    </row>
    <row r="51">
      <c r="A51" s="16"/>
      <c r="B51" s="17"/>
    </row>
    <row r="52">
      <c r="A52" s="16"/>
      <c r="B52" s="17"/>
    </row>
    <row r="53">
      <c r="A53" s="16"/>
      <c r="B53" s="17"/>
    </row>
    <row r="54">
      <c r="A54" s="16"/>
      <c r="B54" s="17"/>
    </row>
    <row r="55">
      <c r="A55" s="16"/>
      <c r="B55" s="17"/>
    </row>
    <row r="56">
      <c r="A56" s="16"/>
      <c r="B56" s="17"/>
    </row>
    <row r="57">
      <c r="A57" s="16"/>
      <c r="B57" s="17"/>
    </row>
    <row r="58">
      <c r="A58" s="16"/>
      <c r="B58" s="17"/>
    </row>
    <row r="59">
      <c r="A59" s="16"/>
      <c r="B59" s="17"/>
    </row>
    <row r="60">
      <c r="A60" s="16"/>
      <c r="B60" s="17"/>
    </row>
    <row r="61">
      <c r="A61" s="16"/>
      <c r="B61" s="17"/>
    </row>
    <row r="62">
      <c r="A62" s="16"/>
      <c r="B62" s="17"/>
    </row>
    <row r="63">
      <c r="A63" s="16"/>
      <c r="B63" s="17"/>
    </row>
    <row r="64">
      <c r="A64" s="16"/>
      <c r="B64" s="17"/>
    </row>
    <row r="65">
      <c r="A65" s="16"/>
      <c r="B65" s="17"/>
    </row>
    <row r="66">
      <c r="A66" s="16"/>
      <c r="B66" s="17"/>
    </row>
    <row r="67">
      <c r="A67" s="16"/>
      <c r="B67" s="17"/>
    </row>
    <row r="68">
      <c r="A68" s="16"/>
      <c r="B68" s="17"/>
    </row>
    <row r="69">
      <c r="A69" s="16"/>
      <c r="B69" s="17"/>
    </row>
    <row r="70">
      <c r="A70" s="16"/>
      <c r="B70" s="17"/>
    </row>
    <row r="71">
      <c r="A71" s="16"/>
      <c r="B71" s="17"/>
    </row>
    <row r="72">
      <c r="A72" s="16"/>
      <c r="B72" s="17"/>
    </row>
    <row r="73">
      <c r="A73" s="16"/>
      <c r="B73" s="17"/>
    </row>
    <row r="74">
      <c r="A74" s="16"/>
      <c r="B74" s="17"/>
    </row>
    <row r="75">
      <c r="A75" s="16"/>
      <c r="B75" s="17"/>
    </row>
    <row r="76">
      <c r="A76" s="16"/>
      <c r="B76" s="17"/>
    </row>
    <row r="77">
      <c r="A77" s="16"/>
      <c r="B77" s="17"/>
    </row>
    <row r="78">
      <c r="A78" s="16"/>
      <c r="B78" s="17"/>
    </row>
    <row r="79">
      <c r="A79" s="16"/>
      <c r="B79" s="17"/>
    </row>
    <row r="80">
      <c r="A80" s="16"/>
      <c r="B80" s="17"/>
    </row>
    <row r="81">
      <c r="A81" s="16"/>
      <c r="B81" s="17"/>
    </row>
    <row r="82">
      <c r="A82" s="16"/>
      <c r="B82" s="17"/>
    </row>
    <row r="83">
      <c r="A83" s="16"/>
      <c r="B83" s="17"/>
    </row>
    <row r="84">
      <c r="A84" s="16"/>
      <c r="B84" s="17"/>
    </row>
    <row r="85">
      <c r="A85" s="16"/>
      <c r="B85" s="17"/>
    </row>
    <row r="86">
      <c r="A86" s="16"/>
      <c r="B86" s="17"/>
    </row>
    <row r="87">
      <c r="A87" s="16"/>
      <c r="B87" s="17"/>
    </row>
    <row r="88">
      <c r="A88" s="16"/>
      <c r="B88" s="17"/>
    </row>
    <row r="89">
      <c r="A89" s="16"/>
      <c r="B89" s="17"/>
    </row>
    <row r="90">
      <c r="A90" s="16"/>
      <c r="B90" s="17"/>
    </row>
    <row r="91">
      <c r="A91" s="16"/>
      <c r="B91" s="17"/>
    </row>
    <row r="92">
      <c r="A92" s="16"/>
      <c r="B92" s="17"/>
    </row>
    <row r="93">
      <c r="A93" s="16"/>
      <c r="B93" s="17"/>
    </row>
    <row r="94">
      <c r="A94" s="16"/>
      <c r="B94" s="17"/>
    </row>
    <row r="95">
      <c r="A95" s="16"/>
      <c r="B95" s="17"/>
    </row>
    <row r="96">
      <c r="A96" s="16"/>
      <c r="B96" s="17"/>
    </row>
    <row r="97">
      <c r="A97" s="16"/>
      <c r="B97" s="17"/>
    </row>
    <row r="98">
      <c r="A98" s="16"/>
      <c r="B98" s="17"/>
    </row>
    <row r="99">
      <c r="A99" s="16"/>
      <c r="B99" s="17"/>
    </row>
    <row r="100">
      <c r="A100" s="16"/>
      <c r="B100" s="17"/>
    </row>
    <row r="101">
      <c r="A101" s="16"/>
      <c r="B101" s="17"/>
    </row>
    <row r="102">
      <c r="A102" s="16"/>
      <c r="B102" s="17"/>
    </row>
    <row r="103">
      <c r="A103" s="16"/>
      <c r="B103" s="17"/>
    </row>
    <row r="104">
      <c r="A104" s="16"/>
      <c r="B104" s="17"/>
    </row>
    <row r="105">
      <c r="A105" s="16"/>
      <c r="B105" s="17"/>
    </row>
    <row r="106">
      <c r="A106" s="16"/>
      <c r="B106" s="17"/>
    </row>
    <row r="107">
      <c r="A107" s="16"/>
      <c r="B107" s="17"/>
    </row>
    <row r="108">
      <c r="A108" s="16"/>
      <c r="B108" s="17"/>
    </row>
    <row r="109">
      <c r="A109" s="16"/>
      <c r="B109" s="17"/>
    </row>
    <row r="110">
      <c r="A110" s="16"/>
      <c r="B110" s="17"/>
    </row>
    <row r="111">
      <c r="A111" s="16"/>
      <c r="B111" s="17"/>
    </row>
    <row r="112">
      <c r="A112" s="16"/>
      <c r="B112" s="17"/>
    </row>
    <row r="113">
      <c r="A113" s="16"/>
      <c r="B113" s="17"/>
    </row>
    <row r="114">
      <c r="A114" s="16"/>
      <c r="B114" s="17"/>
    </row>
    <row r="115">
      <c r="A115" s="16"/>
      <c r="B115" s="17"/>
    </row>
    <row r="116">
      <c r="A116" s="16"/>
      <c r="B116" s="17"/>
    </row>
    <row r="117">
      <c r="A117" s="16"/>
      <c r="B117" s="17"/>
    </row>
    <row r="118">
      <c r="A118" s="16"/>
      <c r="B118" s="17"/>
    </row>
    <row r="119">
      <c r="A119" s="16"/>
      <c r="B119" s="17"/>
    </row>
    <row r="120">
      <c r="A120" s="16"/>
      <c r="B120" s="17"/>
    </row>
    <row r="121">
      <c r="A121" s="16"/>
      <c r="B121" s="17"/>
    </row>
    <row r="122">
      <c r="A122" s="16"/>
      <c r="B122" s="17"/>
    </row>
    <row r="123">
      <c r="A123" s="16"/>
      <c r="B123" s="17"/>
    </row>
    <row r="124">
      <c r="A124" s="16"/>
      <c r="B124" s="17"/>
    </row>
    <row r="125">
      <c r="A125" s="16"/>
      <c r="B125" s="17"/>
    </row>
    <row r="126">
      <c r="A126" s="16"/>
      <c r="B126" s="17"/>
    </row>
    <row r="127">
      <c r="A127" s="16"/>
      <c r="B127" s="17"/>
    </row>
    <row r="128">
      <c r="A128" s="16"/>
      <c r="B128" s="17"/>
    </row>
    <row r="129">
      <c r="A129" s="16"/>
      <c r="B129" s="17"/>
    </row>
    <row r="130">
      <c r="A130" s="16"/>
      <c r="B130" s="17"/>
    </row>
    <row r="131">
      <c r="A131" s="16"/>
      <c r="B131" s="17"/>
    </row>
    <row r="132">
      <c r="A132" s="16"/>
      <c r="B132" s="17"/>
    </row>
    <row r="133">
      <c r="A133" s="16"/>
      <c r="B133" s="17"/>
    </row>
    <row r="134">
      <c r="A134" s="16"/>
      <c r="B134" s="17"/>
    </row>
    <row r="135">
      <c r="A135" s="16"/>
      <c r="B135" s="17"/>
    </row>
    <row r="136">
      <c r="A136" s="16"/>
      <c r="B136" s="17"/>
    </row>
    <row r="137">
      <c r="A137" s="16"/>
      <c r="B137" s="17"/>
    </row>
    <row r="138">
      <c r="A138" s="16"/>
      <c r="B138" s="17"/>
    </row>
    <row r="139">
      <c r="A139" s="16"/>
      <c r="B139" s="17"/>
    </row>
    <row r="140">
      <c r="A140" s="16"/>
      <c r="B140" s="17"/>
    </row>
    <row r="141">
      <c r="A141" s="16"/>
      <c r="B141" s="17"/>
    </row>
    <row r="142">
      <c r="A142" s="16"/>
      <c r="B142" s="17"/>
    </row>
    <row r="143">
      <c r="A143" s="16"/>
      <c r="B143" s="17"/>
    </row>
    <row r="144">
      <c r="A144" s="16"/>
      <c r="B144" s="17"/>
    </row>
    <row r="145">
      <c r="A145" s="16"/>
      <c r="B145" s="17"/>
    </row>
    <row r="146">
      <c r="A146" s="16"/>
      <c r="B146" s="17"/>
    </row>
    <row r="147">
      <c r="A147" s="16"/>
      <c r="B147" s="17"/>
    </row>
    <row r="148">
      <c r="A148" s="16"/>
      <c r="B148" s="17"/>
    </row>
    <row r="149">
      <c r="A149" s="16"/>
      <c r="B149" s="17"/>
    </row>
    <row r="150">
      <c r="A150" s="16"/>
      <c r="B150" s="17"/>
    </row>
    <row r="151">
      <c r="A151" s="16"/>
      <c r="B151" s="17"/>
    </row>
    <row r="152">
      <c r="A152" s="16"/>
      <c r="B152" s="17"/>
    </row>
    <row r="153">
      <c r="A153" s="16"/>
      <c r="B153" s="17"/>
    </row>
    <row r="154">
      <c r="A154" s="16"/>
      <c r="B154" s="17"/>
    </row>
    <row r="155">
      <c r="A155" s="16"/>
      <c r="B155" s="17"/>
    </row>
    <row r="156">
      <c r="A156" s="16"/>
      <c r="B156" s="17"/>
    </row>
    <row r="157">
      <c r="A157" s="16"/>
      <c r="B157" s="17"/>
    </row>
    <row r="158">
      <c r="A158" s="16"/>
      <c r="B158" s="17"/>
    </row>
    <row r="159">
      <c r="A159" s="16"/>
      <c r="B159" s="17"/>
    </row>
    <row r="160">
      <c r="A160" s="16"/>
      <c r="B160" s="17"/>
    </row>
    <row r="161">
      <c r="A161" s="16"/>
      <c r="B161" s="17"/>
    </row>
    <row r="162">
      <c r="A162" s="16"/>
      <c r="B162" s="17"/>
    </row>
    <row r="163">
      <c r="A163" s="16"/>
      <c r="B163" s="17"/>
    </row>
    <row r="164">
      <c r="A164" s="16"/>
      <c r="B164" s="17"/>
    </row>
    <row r="165">
      <c r="A165" s="16"/>
      <c r="B165" s="17"/>
    </row>
    <row r="166">
      <c r="A166" s="16"/>
      <c r="B166" s="17"/>
    </row>
    <row r="167">
      <c r="A167" s="16"/>
      <c r="B167" s="17"/>
    </row>
    <row r="168">
      <c r="A168" s="16"/>
      <c r="B168" s="17"/>
    </row>
    <row r="169">
      <c r="A169" s="16"/>
      <c r="B169" s="17"/>
    </row>
    <row r="170">
      <c r="A170" s="16"/>
      <c r="B170" s="17"/>
    </row>
    <row r="171">
      <c r="A171" s="16"/>
      <c r="B171" s="17"/>
    </row>
    <row r="172">
      <c r="A172" s="16"/>
      <c r="B172" s="17"/>
    </row>
    <row r="173">
      <c r="A173" s="16"/>
      <c r="B173" s="17"/>
    </row>
    <row r="174">
      <c r="A174" s="16"/>
      <c r="B174" s="17"/>
    </row>
    <row r="175">
      <c r="A175" s="16"/>
      <c r="B175" s="17"/>
    </row>
    <row r="176">
      <c r="A176" s="16"/>
      <c r="B176" s="17"/>
    </row>
    <row r="177">
      <c r="A177" s="16"/>
      <c r="B177" s="17"/>
    </row>
    <row r="178">
      <c r="A178" s="16"/>
      <c r="B178" s="17"/>
    </row>
    <row r="179">
      <c r="A179" s="16"/>
      <c r="B179" s="17"/>
    </row>
    <row r="180">
      <c r="A180" s="16"/>
      <c r="B180" s="17"/>
    </row>
    <row r="181">
      <c r="A181" s="16"/>
      <c r="B181" s="17"/>
    </row>
    <row r="182">
      <c r="A182" s="16"/>
      <c r="B182" s="17"/>
    </row>
    <row r="183">
      <c r="A183" s="16"/>
      <c r="B183" s="17"/>
    </row>
    <row r="184">
      <c r="A184" s="16"/>
      <c r="B184" s="17"/>
    </row>
    <row r="185">
      <c r="A185" s="16"/>
      <c r="B185" s="17"/>
    </row>
    <row r="186">
      <c r="A186" s="16"/>
      <c r="B186" s="17"/>
    </row>
    <row r="187">
      <c r="A187" s="16"/>
      <c r="B187" s="17"/>
    </row>
    <row r="188">
      <c r="A188" s="16"/>
      <c r="B188" s="17"/>
    </row>
    <row r="189">
      <c r="A189" s="16"/>
      <c r="B189" s="17"/>
    </row>
    <row r="190">
      <c r="A190" s="16"/>
      <c r="B190" s="17"/>
    </row>
    <row r="191">
      <c r="A191" s="16"/>
      <c r="B191" s="17"/>
    </row>
    <row r="192">
      <c r="A192" s="16"/>
      <c r="B192" s="17"/>
    </row>
    <row r="193">
      <c r="A193" s="16"/>
      <c r="B193" s="17"/>
    </row>
    <row r="194">
      <c r="A194" s="16"/>
      <c r="B194" s="17"/>
    </row>
    <row r="195">
      <c r="A195" s="16"/>
      <c r="B195" s="17"/>
    </row>
    <row r="196">
      <c r="A196" s="16"/>
      <c r="B196" s="17"/>
    </row>
    <row r="197">
      <c r="A197" s="16"/>
      <c r="B197" s="17"/>
    </row>
    <row r="198">
      <c r="A198" s="16"/>
      <c r="B198" s="17"/>
    </row>
    <row r="199">
      <c r="A199" s="16"/>
      <c r="B199" s="17"/>
    </row>
    <row r="200">
      <c r="A200" s="16"/>
      <c r="B200" s="17"/>
    </row>
    <row r="201">
      <c r="A201" s="16"/>
      <c r="B201" s="17"/>
    </row>
    <row r="202">
      <c r="A202" s="16"/>
      <c r="B202" s="17"/>
    </row>
    <row r="203">
      <c r="A203" s="16"/>
      <c r="B203" s="17"/>
    </row>
    <row r="204">
      <c r="A204" s="16"/>
      <c r="B204" s="17"/>
    </row>
    <row r="205">
      <c r="A205" s="16"/>
      <c r="B205" s="17"/>
    </row>
    <row r="206">
      <c r="A206" s="16"/>
      <c r="B206" s="17"/>
    </row>
    <row r="207">
      <c r="A207" s="16"/>
      <c r="B207" s="17"/>
    </row>
    <row r="208">
      <c r="A208" s="16"/>
      <c r="B208" s="17"/>
    </row>
    <row r="209">
      <c r="A209" s="16"/>
      <c r="B209" s="17"/>
    </row>
    <row r="210">
      <c r="A210" s="16"/>
      <c r="B210" s="17"/>
    </row>
    <row r="211">
      <c r="A211" s="16"/>
      <c r="B211" s="17"/>
    </row>
    <row r="212">
      <c r="A212" s="16"/>
      <c r="B212" s="17"/>
    </row>
    <row r="213">
      <c r="A213" s="16"/>
      <c r="B213" s="17"/>
    </row>
    <row r="214">
      <c r="A214" s="16"/>
      <c r="B214" s="17"/>
    </row>
    <row r="215">
      <c r="A215" s="16"/>
      <c r="B215" s="17"/>
    </row>
    <row r="216">
      <c r="A216" s="16"/>
      <c r="B216" s="17"/>
    </row>
    <row r="217">
      <c r="A217" s="16"/>
      <c r="B217" s="17"/>
    </row>
    <row r="218">
      <c r="A218" s="16"/>
      <c r="B218" s="17"/>
    </row>
    <row r="219">
      <c r="A219" s="16"/>
      <c r="B219" s="17"/>
    </row>
    <row r="220">
      <c r="A220" s="16"/>
      <c r="B220" s="17"/>
    </row>
    <row r="221">
      <c r="A221" s="16"/>
      <c r="B221" s="17"/>
    </row>
    <row r="222">
      <c r="A222" s="16"/>
      <c r="B222" s="17"/>
    </row>
    <row r="223">
      <c r="A223" s="16"/>
      <c r="B223" s="17"/>
    </row>
    <row r="224">
      <c r="A224" s="16"/>
      <c r="B224" s="17"/>
    </row>
    <row r="225">
      <c r="A225" s="16"/>
      <c r="B225" s="17"/>
    </row>
    <row r="226">
      <c r="A226" s="16"/>
      <c r="B226" s="17"/>
    </row>
    <row r="227">
      <c r="A227" s="16"/>
      <c r="B227" s="17"/>
    </row>
    <row r="228">
      <c r="A228" s="16"/>
      <c r="B228" s="17"/>
    </row>
    <row r="229">
      <c r="A229" s="16"/>
      <c r="B229" s="17"/>
    </row>
    <row r="230">
      <c r="A230" s="16"/>
      <c r="B230" s="17"/>
    </row>
    <row r="231">
      <c r="A231" s="16"/>
      <c r="B231" s="17"/>
    </row>
    <row r="232">
      <c r="A232" s="16"/>
      <c r="B232" s="17"/>
    </row>
    <row r="233">
      <c r="A233" s="16"/>
      <c r="B233" s="17"/>
    </row>
    <row r="234">
      <c r="A234" s="16"/>
      <c r="B234" s="17"/>
    </row>
    <row r="235">
      <c r="A235" s="16"/>
      <c r="B235" s="17"/>
    </row>
    <row r="236">
      <c r="A236" s="16"/>
      <c r="B236" s="17"/>
    </row>
    <row r="237">
      <c r="A237" s="16"/>
      <c r="B237" s="17"/>
    </row>
    <row r="238">
      <c r="A238" s="16"/>
      <c r="B238" s="17"/>
    </row>
    <row r="239">
      <c r="A239" s="16"/>
      <c r="B239" s="17"/>
    </row>
    <row r="240">
      <c r="A240" s="16"/>
      <c r="B240" s="17"/>
    </row>
    <row r="241">
      <c r="A241" s="16"/>
      <c r="B241" s="17"/>
    </row>
    <row r="242">
      <c r="A242" s="16"/>
      <c r="B242" s="17"/>
    </row>
    <row r="243">
      <c r="A243" s="16"/>
      <c r="B243" s="17"/>
    </row>
    <row r="244">
      <c r="A244" s="16"/>
      <c r="B244" s="17"/>
    </row>
    <row r="245">
      <c r="A245" s="16"/>
      <c r="B245" s="17"/>
    </row>
    <row r="246">
      <c r="A246" s="16"/>
      <c r="B246" s="17"/>
    </row>
    <row r="247">
      <c r="A247" s="16"/>
      <c r="B247" s="17"/>
    </row>
    <row r="248">
      <c r="A248" s="16"/>
      <c r="B248" s="17"/>
    </row>
    <row r="249">
      <c r="A249" s="16"/>
      <c r="B249" s="17"/>
    </row>
    <row r="250">
      <c r="A250" s="16"/>
      <c r="B250" s="17"/>
    </row>
    <row r="251">
      <c r="A251" s="16"/>
      <c r="B251" s="17"/>
    </row>
    <row r="252">
      <c r="A252" s="16"/>
      <c r="B252" s="17"/>
    </row>
    <row r="253">
      <c r="A253" s="16"/>
      <c r="B253" s="17"/>
    </row>
    <row r="254">
      <c r="A254" s="16"/>
      <c r="B254" s="17"/>
    </row>
    <row r="255">
      <c r="A255" s="16"/>
      <c r="B255" s="17"/>
    </row>
    <row r="256">
      <c r="A256" s="16"/>
      <c r="B256" s="17"/>
    </row>
    <row r="257">
      <c r="A257" s="16"/>
      <c r="B257" s="17"/>
    </row>
    <row r="258">
      <c r="A258" s="16"/>
      <c r="B258" s="17"/>
    </row>
    <row r="259">
      <c r="A259" s="16"/>
      <c r="B259" s="17"/>
    </row>
    <row r="260">
      <c r="A260" s="16"/>
      <c r="B260" s="17"/>
    </row>
    <row r="261">
      <c r="A261" s="16"/>
      <c r="B261" s="17"/>
    </row>
    <row r="262">
      <c r="A262" s="16"/>
      <c r="B262" s="17"/>
    </row>
    <row r="263">
      <c r="A263" s="16"/>
      <c r="B263" s="17"/>
    </row>
    <row r="264">
      <c r="A264" s="16"/>
      <c r="B264" s="17"/>
    </row>
    <row r="265">
      <c r="A265" s="16"/>
      <c r="B265" s="17"/>
    </row>
    <row r="266">
      <c r="A266" s="16"/>
      <c r="B266" s="17"/>
    </row>
    <row r="267">
      <c r="A267" s="16"/>
      <c r="B267" s="17"/>
    </row>
    <row r="268">
      <c r="A268" s="16"/>
      <c r="B268" s="17"/>
    </row>
    <row r="269">
      <c r="A269" s="16"/>
      <c r="B269" s="17"/>
    </row>
    <row r="270">
      <c r="A270" s="16"/>
      <c r="B270" s="17"/>
    </row>
    <row r="271">
      <c r="A271" s="16"/>
      <c r="B271" s="17"/>
    </row>
    <row r="272">
      <c r="A272" s="16"/>
      <c r="B272" s="17"/>
    </row>
    <row r="273">
      <c r="A273" s="16"/>
      <c r="B273" s="17"/>
    </row>
    <row r="274">
      <c r="A274" s="16"/>
      <c r="B274" s="17"/>
    </row>
    <row r="275">
      <c r="A275" s="16"/>
      <c r="B275" s="17"/>
    </row>
    <row r="276">
      <c r="A276" s="16"/>
      <c r="B276" s="17"/>
    </row>
    <row r="277">
      <c r="A277" s="16"/>
      <c r="B277" s="17"/>
    </row>
    <row r="278">
      <c r="A278" s="16"/>
      <c r="B278" s="17"/>
    </row>
    <row r="279">
      <c r="A279" s="16"/>
      <c r="B279" s="17"/>
    </row>
    <row r="280">
      <c r="A280" s="16"/>
      <c r="B280" s="17"/>
    </row>
    <row r="281">
      <c r="A281" s="16"/>
      <c r="B281" s="17"/>
    </row>
    <row r="282">
      <c r="A282" s="16"/>
      <c r="B282" s="17"/>
    </row>
    <row r="283">
      <c r="A283" s="16"/>
      <c r="B283" s="17"/>
    </row>
    <row r="284">
      <c r="A284" s="16"/>
      <c r="B284" s="17"/>
    </row>
    <row r="285">
      <c r="A285" s="16"/>
      <c r="B285" s="17"/>
    </row>
    <row r="286">
      <c r="A286" s="16"/>
      <c r="B286" s="17"/>
    </row>
    <row r="287">
      <c r="A287" s="16"/>
      <c r="B287" s="17"/>
    </row>
    <row r="288">
      <c r="A288" s="16"/>
      <c r="B288" s="17"/>
    </row>
    <row r="289">
      <c r="A289" s="16"/>
      <c r="B289" s="17"/>
    </row>
    <row r="290">
      <c r="A290" s="16"/>
      <c r="B290" s="17"/>
    </row>
    <row r="291">
      <c r="A291" s="16"/>
      <c r="B291" s="17"/>
    </row>
    <row r="292">
      <c r="A292" s="16"/>
      <c r="B292" s="17"/>
    </row>
    <row r="293">
      <c r="A293" s="16"/>
      <c r="B293" s="17"/>
    </row>
    <row r="294">
      <c r="A294" s="16"/>
      <c r="B294" s="17"/>
    </row>
    <row r="295">
      <c r="A295" s="16"/>
      <c r="B295" s="17"/>
    </row>
    <row r="296">
      <c r="A296" s="16"/>
      <c r="B296" s="17"/>
    </row>
    <row r="297">
      <c r="A297" s="16"/>
      <c r="B297" s="17"/>
    </row>
    <row r="298">
      <c r="A298" s="16"/>
      <c r="B298" s="17"/>
    </row>
    <row r="299">
      <c r="A299" s="16"/>
      <c r="B299" s="17"/>
    </row>
    <row r="300">
      <c r="A300" s="16"/>
      <c r="B300" s="17"/>
    </row>
    <row r="301">
      <c r="A301" s="16"/>
      <c r="B301" s="17"/>
    </row>
    <row r="302">
      <c r="A302" s="16"/>
      <c r="B302" s="17"/>
    </row>
    <row r="303">
      <c r="A303" s="16"/>
      <c r="B303" s="17"/>
    </row>
    <row r="304">
      <c r="A304" s="16"/>
      <c r="B304" s="17"/>
    </row>
    <row r="305">
      <c r="A305" s="16"/>
      <c r="B305" s="17"/>
    </row>
    <row r="306">
      <c r="A306" s="16"/>
      <c r="B306" s="17"/>
    </row>
    <row r="307">
      <c r="A307" s="16"/>
      <c r="B307" s="17"/>
    </row>
    <row r="308">
      <c r="A308" s="16"/>
      <c r="B308" s="17"/>
    </row>
    <row r="309">
      <c r="A309" s="16"/>
      <c r="B309" s="17"/>
    </row>
    <row r="310">
      <c r="A310" s="16"/>
      <c r="B310" s="17"/>
    </row>
    <row r="311">
      <c r="A311" s="16"/>
      <c r="B311" s="17"/>
    </row>
    <row r="312">
      <c r="A312" s="16"/>
      <c r="B312" s="17"/>
    </row>
    <row r="313">
      <c r="A313" s="16"/>
      <c r="B313" s="17"/>
    </row>
    <row r="314">
      <c r="A314" s="16"/>
      <c r="B314" s="17"/>
    </row>
    <row r="315">
      <c r="A315" s="16"/>
      <c r="B315" s="17"/>
    </row>
    <row r="316">
      <c r="A316" s="16"/>
      <c r="B316" s="17"/>
    </row>
    <row r="317">
      <c r="A317" s="16"/>
      <c r="B317" s="17"/>
    </row>
    <row r="318">
      <c r="A318" s="16"/>
      <c r="B318" s="17"/>
    </row>
    <row r="319">
      <c r="A319" s="16"/>
      <c r="B319" s="17"/>
    </row>
    <row r="320">
      <c r="A320" s="16"/>
      <c r="B320" s="17"/>
    </row>
    <row r="321">
      <c r="A321" s="16"/>
      <c r="B321" s="17"/>
    </row>
    <row r="322">
      <c r="A322" s="16"/>
      <c r="B322" s="17"/>
    </row>
    <row r="323">
      <c r="A323" s="16"/>
      <c r="B323" s="17"/>
    </row>
    <row r="324">
      <c r="A324" s="16"/>
      <c r="B324" s="17"/>
    </row>
    <row r="325">
      <c r="A325" s="16"/>
      <c r="B325" s="17"/>
    </row>
    <row r="326">
      <c r="A326" s="16"/>
      <c r="B326" s="17"/>
    </row>
    <row r="327">
      <c r="A327" s="16"/>
      <c r="B327" s="17"/>
    </row>
    <row r="328">
      <c r="A328" s="16"/>
      <c r="B328" s="17"/>
    </row>
    <row r="329">
      <c r="A329" s="16"/>
      <c r="B329" s="17"/>
    </row>
    <row r="330">
      <c r="A330" s="16"/>
      <c r="B330" s="17"/>
    </row>
    <row r="331">
      <c r="A331" s="16"/>
      <c r="B331" s="17"/>
    </row>
    <row r="332">
      <c r="A332" s="16"/>
      <c r="B332" s="17"/>
    </row>
    <row r="333">
      <c r="A333" s="16"/>
      <c r="B333" s="17"/>
    </row>
    <row r="334">
      <c r="A334" s="16"/>
      <c r="B334" s="17"/>
    </row>
    <row r="335">
      <c r="A335" s="16"/>
      <c r="B335" s="17"/>
    </row>
    <row r="336">
      <c r="A336" s="16"/>
      <c r="B336" s="17"/>
    </row>
    <row r="337">
      <c r="A337" s="16"/>
      <c r="B337" s="17"/>
    </row>
    <row r="338">
      <c r="A338" s="16"/>
      <c r="B338" s="17"/>
    </row>
    <row r="339">
      <c r="A339" s="16"/>
      <c r="B339" s="17"/>
    </row>
    <row r="340">
      <c r="A340" s="16"/>
      <c r="B340" s="17"/>
    </row>
    <row r="341">
      <c r="A341" s="16"/>
      <c r="B341" s="17"/>
    </row>
    <row r="342">
      <c r="A342" s="16"/>
      <c r="B342" s="17"/>
    </row>
    <row r="343">
      <c r="A343" s="16"/>
      <c r="B343" s="17"/>
    </row>
    <row r="344">
      <c r="A344" s="16"/>
      <c r="B344" s="17"/>
    </row>
    <row r="345">
      <c r="A345" s="16"/>
      <c r="B345" s="17"/>
    </row>
    <row r="346">
      <c r="A346" s="16"/>
      <c r="B346" s="17"/>
    </row>
    <row r="347">
      <c r="A347" s="16"/>
      <c r="B347" s="17"/>
    </row>
    <row r="348">
      <c r="A348" s="16"/>
      <c r="B348" s="17"/>
    </row>
    <row r="349">
      <c r="A349" s="16"/>
      <c r="B349" s="17"/>
    </row>
    <row r="350">
      <c r="A350" s="16"/>
      <c r="B350" s="17"/>
    </row>
    <row r="351">
      <c r="A351" s="16"/>
      <c r="B351" s="17"/>
    </row>
    <row r="352">
      <c r="A352" s="16"/>
      <c r="B352" s="17"/>
    </row>
    <row r="353">
      <c r="A353" s="16"/>
      <c r="B353" s="17"/>
    </row>
    <row r="354">
      <c r="A354" s="16"/>
      <c r="B354" s="17"/>
    </row>
    <row r="355">
      <c r="A355" s="16"/>
      <c r="B355" s="17"/>
    </row>
    <row r="356">
      <c r="A356" s="16"/>
      <c r="B356" s="17"/>
    </row>
    <row r="357">
      <c r="A357" s="16"/>
      <c r="B357" s="17"/>
    </row>
    <row r="358">
      <c r="A358" s="16"/>
      <c r="B358" s="17"/>
    </row>
    <row r="359">
      <c r="A359" s="16"/>
      <c r="B359" s="17"/>
    </row>
    <row r="360">
      <c r="A360" s="16"/>
      <c r="B360" s="17"/>
    </row>
    <row r="361">
      <c r="A361" s="16"/>
      <c r="B361" s="17"/>
    </row>
    <row r="362">
      <c r="A362" s="16"/>
      <c r="B362" s="17"/>
    </row>
    <row r="363">
      <c r="A363" s="16"/>
      <c r="B363" s="17"/>
    </row>
    <row r="364">
      <c r="A364" s="16"/>
      <c r="B364" s="17"/>
    </row>
    <row r="365">
      <c r="A365" s="16"/>
      <c r="B365" s="17"/>
    </row>
    <row r="366">
      <c r="A366" s="16"/>
      <c r="B366" s="17"/>
    </row>
    <row r="367">
      <c r="A367" s="16"/>
      <c r="B367" s="17"/>
    </row>
    <row r="368">
      <c r="A368" s="16"/>
      <c r="B368" s="17"/>
    </row>
    <row r="369">
      <c r="A369" s="16"/>
      <c r="B369" s="17"/>
    </row>
    <row r="370">
      <c r="A370" s="16"/>
      <c r="B370" s="17"/>
    </row>
    <row r="371">
      <c r="A371" s="16"/>
      <c r="B371" s="17"/>
    </row>
    <row r="372">
      <c r="A372" s="16"/>
      <c r="B372" s="17"/>
    </row>
    <row r="373">
      <c r="A373" s="16"/>
      <c r="B373" s="17"/>
    </row>
    <row r="374">
      <c r="A374" s="16"/>
      <c r="B374" s="17"/>
    </row>
    <row r="375">
      <c r="A375" s="16"/>
      <c r="B375" s="17"/>
    </row>
    <row r="376">
      <c r="A376" s="16"/>
      <c r="B376" s="17"/>
    </row>
    <row r="377">
      <c r="A377" s="16"/>
      <c r="B377" s="17"/>
    </row>
    <row r="378">
      <c r="A378" s="16"/>
      <c r="B378" s="17"/>
    </row>
    <row r="379">
      <c r="A379" s="16"/>
      <c r="B379" s="17"/>
    </row>
    <row r="380">
      <c r="A380" s="16"/>
      <c r="B380" s="17"/>
    </row>
    <row r="381">
      <c r="A381" s="16"/>
      <c r="B381" s="17"/>
    </row>
    <row r="382">
      <c r="A382" s="16"/>
      <c r="B382" s="17"/>
    </row>
    <row r="383">
      <c r="A383" s="16"/>
      <c r="B383" s="17"/>
    </row>
    <row r="384">
      <c r="A384" s="16"/>
      <c r="B384" s="17"/>
    </row>
    <row r="385">
      <c r="A385" s="16"/>
      <c r="B385" s="17"/>
    </row>
    <row r="386">
      <c r="A386" s="16"/>
      <c r="B386" s="17"/>
    </row>
    <row r="387">
      <c r="A387" s="16"/>
      <c r="B387" s="17"/>
    </row>
    <row r="388">
      <c r="A388" s="16"/>
      <c r="B388" s="17"/>
    </row>
    <row r="389">
      <c r="A389" s="16"/>
      <c r="B389" s="17"/>
    </row>
    <row r="390">
      <c r="A390" s="16"/>
      <c r="B390" s="17"/>
    </row>
    <row r="391">
      <c r="A391" s="16"/>
      <c r="B391" s="17"/>
    </row>
    <row r="392">
      <c r="A392" s="16"/>
      <c r="B392" s="17"/>
    </row>
    <row r="393">
      <c r="A393" s="16"/>
      <c r="B393" s="17"/>
    </row>
    <row r="394">
      <c r="A394" s="16"/>
      <c r="B394" s="17"/>
    </row>
    <row r="395">
      <c r="A395" s="16"/>
      <c r="B395" s="17"/>
    </row>
    <row r="396">
      <c r="A396" s="16"/>
      <c r="B396" s="17"/>
    </row>
    <row r="397">
      <c r="A397" s="16"/>
      <c r="B397" s="17"/>
    </row>
    <row r="398">
      <c r="A398" s="16"/>
      <c r="B398" s="17"/>
    </row>
    <row r="399">
      <c r="A399" s="16"/>
      <c r="B399" s="17"/>
    </row>
    <row r="400">
      <c r="A400" s="16"/>
      <c r="B400" s="17"/>
    </row>
    <row r="401">
      <c r="A401" s="16"/>
      <c r="B401" s="17"/>
    </row>
    <row r="402">
      <c r="A402" s="16"/>
      <c r="B402" s="17"/>
    </row>
    <row r="403">
      <c r="A403" s="16"/>
      <c r="B403" s="17"/>
    </row>
    <row r="404">
      <c r="A404" s="16"/>
      <c r="B404" s="17"/>
    </row>
    <row r="405">
      <c r="A405" s="16"/>
      <c r="B405" s="17"/>
    </row>
    <row r="406">
      <c r="A406" s="16"/>
      <c r="B406" s="17"/>
    </row>
    <row r="407">
      <c r="A407" s="16"/>
      <c r="B407" s="17"/>
    </row>
    <row r="408">
      <c r="A408" s="16"/>
      <c r="B408" s="17"/>
    </row>
    <row r="409">
      <c r="A409" s="16"/>
      <c r="B409" s="17"/>
    </row>
    <row r="410">
      <c r="A410" s="16"/>
      <c r="B410" s="17"/>
    </row>
    <row r="411">
      <c r="A411" s="16"/>
      <c r="B411" s="17"/>
    </row>
    <row r="412">
      <c r="A412" s="16"/>
      <c r="B412" s="17"/>
    </row>
    <row r="413">
      <c r="A413" s="16"/>
      <c r="B413" s="17"/>
    </row>
    <row r="414">
      <c r="A414" s="16"/>
      <c r="B414" s="17"/>
    </row>
    <row r="415">
      <c r="A415" s="16"/>
      <c r="B415" s="17"/>
    </row>
    <row r="416">
      <c r="A416" s="16"/>
      <c r="B416" s="17"/>
    </row>
    <row r="417">
      <c r="A417" s="16"/>
      <c r="B417" s="17"/>
    </row>
    <row r="418">
      <c r="A418" s="16"/>
      <c r="B418" s="17"/>
    </row>
    <row r="419">
      <c r="A419" s="16"/>
      <c r="B419" s="17"/>
    </row>
    <row r="420">
      <c r="A420" s="16"/>
      <c r="B420" s="17"/>
    </row>
    <row r="421">
      <c r="A421" s="16"/>
      <c r="B421" s="17"/>
    </row>
    <row r="422">
      <c r="A422" s="16"/>
      <c r="B422" s="17"/>
    </row>
    <row r="423">
      <c r="A423" s="16"/>
      <c r="B423" s="17"/>
    </row>
    <row r="424">
      <c r="A424" s="16"/>
      <c r="B424" s="17"/>
    </row>
    <row r="425">
      <c r="A425" s="16"/>
      <c r="B425" s="17"/>
    </row>
    <row r="426">
      <c r="A426" s="16"/>
      <c r="B426" s="17"/>
    </row>
    <row r="427">
      <c r="A427" s="16"/>
      <c r="B427" s="17"/>
    </row>
    <row r="428">
      <c r="A428" s="16"/>
      <c r="B428" s="17"/>
    </row>
    <row r="429">
      <c r="A429" s="16"/>
      <c r="B429" s="17"/>
    </row>
    <row r="430">
      <c r="A430" s="16"/>
      <c r="B430" s="17"/>
    </row>
    <row r="431">
      <c r="A431" s="16"/>
      <c r="B431" s="17"/>
    </row>
    <row r="432">
      <c r="A432" s="16"/>
      <c r="B432" s="17"/>
    </row>
    <row r="433">
      <c r="A433" s="16"/>
      <c r="B433" s="17"/>
    </row>
    <row r="434">
      <c r="A434" s="16"/>
      <c r="B434" s="17"/>
    </row>
    <row r="435">
      <c r="A435" s="16"/>
      <c r="B435" s="17"/>
    </row>
    <row r="436">
      <c r="A436" s="16"/>
      <c r="B436" s="17"/>
    </row>
    <row r="437">
      <c r="A437" s="16"/>
      <c r="B437" s="17"/>
    </row>
    <row r="438">
      <c r="A438" s="16"/>
      <c r="B438" s="17"/>
    </row>
    <row r="439">
      <c r="A439" s="16"/>
      <c r="B439" s="17"/>
    </row>
    <row r="440">
      <c r="A440" s="16"/>
      <c r="B440" s="17"/>
    </row>
    <row r="441">
      <c r="A441" s="16"/>
      <c r="B441" s="17"/>
    </row>
    <row r="442">
      <c r="A442" s="16"/>
      <c r="B442" s="17"/>
    </row>
    <row r="443">
      <c r="A443" s="16"/>
      <c r="B443" s="17"/>
    </row>
    <row r="444">
      <c r="A444" s="16"/>
      <c r="B444" s="17"/>
    </row>
    <row r="445">
      <c r="A445" s="16"/>
      <c r="B445" s="17"/>
    </row>
    <row r="446">
      <c r="A446" s="16"/>
      <c r="B446" s="17"/>
    </row>
    <row r="447">
      <c r="A447" s="16"/>
      <c r="B447" s="17"/>
    </row>
    <row r="448">
      <c r="A448" s="16"/>
      <c r="B448" s="17"/>
    </row>
    <row r="449">
      <c r="A449" s="16"/>
      <c r="B449" s="17"/>
    </row>
    <row r="450">
      <c r="A450" s="16"/>
      <c r="B450" s="17"/>
    </row>
    <row r="451">
      <c r="A451" s="16"/>
      <c r="B451" s="17"/>
    </row>
    <row r="452">
      <c r="A452" s="16"/>
      <c r="B452" s="17"/>
    </row>
    <row r="453">
      <c r="A453" s="16"/>
      <c r="B453" s="17"/>
    </row>
    <row r="454">
      <c r="A454" s="16"/>
      <c r="B454" s="17"/>
    </row>
    <row r="455">
      <c r="A455" s="16"/>
      <c r="B455" s="17"/>
    </row>
    <row r="456">
      <c r="A456" s="16"/>
      <c r="B456" s="17"/>
    </row>
    <row r="457">
      <c r="A457" s="16"/>
      <c r="B457" s="17"/>
    </row>
    <row r="458">
      <c r="A458" s="16"/>
      <c r="B458" s="17"/>
    </row>
    <row r="459">
      <c r="A459" s="16"/>
      <c r="B459" s="17"/>
    </row>
    <row r="460">
      <c r="A460" s="16"/>
      <c r="B460" s="17"/>
    </row>
    <row r="461">
      <c r="A461" s="16"/>
      <c r="B461" s="17"/>
    </row>
    <row r="462">
      <c r="A462" s="16"/>
      <c r="B462" s="17"/>
    </row>
    <row r="463">
      <c r="A463" s="16"/>
      <c r="B463" s="17"/>
    </row>
    <row r="464">
      <c r="A464" s="16"/>
      <c r="B464" s="17"/>
    </row>
    <row r="465">
      <c r="A465" s="16"/>
      <c r="B465" s="17"/>
    </row>
    <row r="466">
      <c r="A466" s="16"/>
      <c r="B466" s="17"/>
    </row>
    <row r="467">
      <c r="A467" s="16"/>
      <c r="B467" s="17"/>
    </row>
    <row r="468">
      <c r="A468" s="16"/>
      <c r="B468" s="17"/>
    </row>
    <row r="469">
      <c r="A469" s="16"/>
      <c r="B469" s="17"/>
    </row>
    <row r="470">
      <c r="A470" s="16"/>
      <c r="B470" s="17"/>
    </row>
    <row r="471">
      <c r="A471" s="16"/>
      <c r="B471" s="17"/>
    </row>
    <row r="472">
      <c r="A472" s="16"/>
      <c r="B472" s="17"/>
    </row>
    <row r="473">
      <c r="A473" s="16"/>
      <c r="B473" s="17"/>
    </row>
    <row r="474">
      <c r="A474" s="16"/>
      <c r="B474" s="17"/>
    </row>
    <row r="475">
      <c r="A475" s="16"/>
      <c r="B475" s="17"/>
    </row>
    <row r="476">
      <c r="A476" s="16"/>
      <c r="B476" s="17"/>
    </row>
    <row r="477">
      <c r="A477" s="16"/>
      <c r="B477" s="17"/>
    </row>
    <row r="478">
      <c r="A478" s="16"/>
      <c r="B478" s="17"/>
    </row>
    <row r="479">
      <c r="A479" s="16"/>
      <c r="B479" s="17"/>
    </row>
    <row r="480">
      <c r="A480" s="16"/>
      <c r="B480" s="17"/>
    </row>
    <row r="481">
      <c r="A481" s="16"/>
      <c r="B481" s="17"/>
    </row>
    <row r="482">
      <c r="A482" s="16"/>
      <c r="B482" s="17"/>
    </row>
    <row r="483">
      <c r="A483" s="16"/>
      <c r="B483" s="17"/>
    </row>
    <row r="484">
      <c r="A484" s="16"/>
      <c r="B484" s="17"/>
    </row>
    <row r="485">
      <c r="A485" s="16"/>
      <c r="B485" s="17"/>
    </row>
    <row r="486">
      <c r="A486" s="16"/>
      <c r="B486" s="17"/>
    </row>
    <row r="487">
      <c r="A487" s="16"/>
      <c r="B487" s="17"/>
    </row>
    <row r="488">
      <c r="A488" s="16"/>
      <c r="B488" s="17"/>
    </row>
    <row r="489">
      <c r="A489" s="16"/>
      <c r="B489" s="17"/>
    </row>
    <row r="490">
      <c r="A490" s="16"/>
      <c r="B490" s="17"/>
    </row>
    <row r="491">
      <c r="A491" s="16"/>
      <c r="B491" s="17"/>
    </row>
    <row r="492">
      <c r="A492" s="16"/>
      <c r="B492" s="17"/>
    </row>
    <row r="493">
      <c r="A493" s="16"/>
      <c r="B493" s="17"/>
    </row>
    <row r="494">
      <c r="A494" s="16"/>
      <c r="B494" s="17"/>
    </row>
    <row r="495">
      <c r="A495" s="16"/>
      <c r="B495" s="17"/>
    </row>
    <row r="496">
      <c r="A496" s="16"/>
      <c r="B496" s="17"/>
    </row>
    <row r="497">
      <c r="A497" s="16"/>
      <c r="B497" s="17"/>
    </row>
    <row r="498">
      <c r="A498" s="16"/>
      <c r="B498" s="17"/>
    </row>
    <row r="499">
      <c r="A499" s="16"/>
      <c r="B499" s="17"/>
    </row>
    <row r="500">
      <c r="A500" s="16"/>
      <c r="B500" s="17"/>
    </row>
    <row r="501">
      <c r="A501" s="16"/>
      <c r="B501" s="17"/>
    </row>
    <row r="502">
      <c r="A502" s="16"/>
      <c r="B502" s="17"/>
    </row>
    <row r="503">
      <c r="A503" s="16"/>
      <c r="B503" s="17"/>
    </row>
    <row r="504">
      <c r="A504" s="16"/>
      <c r="B504" s="17"/>
    </row>
    <row r="505">
      <c r="A505" s="16"/>
      <c r="B505" s="17"/>
    </row>
    <row r="506">
      <c r="A506" s="16"/>
      <c r="B506" s="17"/>
    </row>
    <row r="507">
      <c r="A507" s="16"/>
      <c r="B507" s="17"/>
    </row>
    <row r="508">
      <c r="A508" s="16"/>
      <c r="B508" s="17"/>
    </row>
    <row r="509">
      <c r="A509" s="16"/>
      <c r="B509" s="17"/>
    </row>
    <row r="510">
      <c r="A510" s="16"/>
      <c r="B510" s="17"/>
    </row>
    <row r="511">
      <c r="A511" s="16"/>
      <c r="B511" s="17"/>
    </row>
    <row r="512">
      <c r="A512" s="16"/>
      <c r="B512" s="17"/>
    </row>
    <row r="513">
      <c r="A513" s="16"/>
      <c r="B513" s="17"/>
    </row>
    <row r="514">
      <c r="A514" s="16"/>
      <c r="B514" s="17"/>
    </row>
    <row r="515">
      <c r="A515" s="16"/>
      <c r="B515" s="17"/>
    </row>
    <row r="516">
      <c r="A516" s="16"/>
      <c r="B516" s="17"/>
    </row>
    <row r="517">
      <c r="A517" s="16"/>
      <c r="B517" s="17"/>
    </row>
    <row r="518">
      <c r="A518" s="16"/>
      <c r="B518" s="17"/>
    </row>
    <row r="519">
      <c r="A519" s="16"/>
      <c r="B519" s="17"/>
    </row>
    <row r="520">
      <c r="A520" s="16"/>
      <c r="B520" s="17"/>
    </row>
    <row r="521">
      <c r="A521" s="16"/>
      <c r="B521" s="17"/>
    </row>
    <row r="522">
      <c r="A522" s="16"/>
      <c r="B522" s="17"/>
    </row>
    <row r="523">
      <c r="A523" s="16"/>
      <c r="B523" s="17"/>
    </row>
    <row r="524">
      <c r="A524" s="16"/>
      <c r="B524" s="17"/>
    </row>
    <row r="525">
      <c r="A525" s="16"/>
      <c r="B525" s="17"/>
    </row>
    <row r="526">
      <c r="A526" s="16"/>
      <c r="B526" s="17"/>
    </row>
    <row r="527">
      <c r="A527" s="16"/>
      <c r="B527" s="17"/>
    </row>
    <row r="528">
      <c r="A528" s="16"/>
      <c r="B528" s="17"/>
    </row>
    <row r="529">
      <c r="A529" s="16"/>
      <c r="B529" s="17"/>
    </row>
    <row r="530">
      <c r="A530" s="16"/>
      <c r="B530" s="17"/>
    </row>
    <row r="531">
      <c r="A531" s="16"/>
      <c r="B531" s="17"/>
    </row>
    <row r="532">
      <c r="A532" s="16"/>
      <c r="B532" s="17"/>
    </row>
    <row r="533">
      <c r="A533" s="16"/>
      <c r="B533" s="17"/>
    </row>
    <row r="534">
      <c r="A534" s="16"/>
      <c r="B534" s="17"/>
    </row>
    <row r="535">
      <c r="A535" s="16"/>
      <c r="B535" s="17"/>
    </row>
    <row r="536">
      <c r="A536" s="16"/>
      <c r="B536" s="17"/>
    </row>
    <row r="537">
      <c r="A537" s="16"/>
      <c r="B537" s="17"/>
    </row>
    <row r="538">
      <c r="A538" s="16"/>
      <c r="B538" s="17"/>
    </row>
    <row r="539">
      <c r="A539" s="16"/>
      <c r="B539" s="17"/>
    </row>
  </sheetData>
  <hyperlinks>
    <hyperlink r:id="rId2" location="gid=320864130" ref="D2"/>
    <hyperlink r:id="rId3" location="gid=595413584" ref="D3"/>
    <hyperlink r:id="rId4" ref="D5"/>
    <hyperlink r:id="rId5" ref="D6"/>
    <hyperlink r:id="rId6" ref="D7"/>
    <hyperlink r:id="rId7" ref="D8"/>
    <hyperlink r:id="rId8" ref="D10"/>
    <hyperlink r:id="rId9" ref="D11"/>
    <hyperlink r:id="rId10" ref="D12"/>
    <hyperlink r:id="rId11" ref="D13"/>
    <hyperlink r:id="rId12" ref="D14"/>
    <hyperlink r:id="rId13" ref="D15"/>
  </hyperlinks>
  <drawing r:id="rId14"/>
  <legacyDrawing r:id="rId1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25"/>
    <col customWidth="1" min="2" max="2" width="29.75"/>
    <col customWidth="1" min="3" max="4" width="20.5"/>
    <col customWidth="1" min="5" max="5" width="18.63"/>
  </cols>
  <sheetData>
    <row r="1">
      <c r="A1" s="29" t="s">
        <v>148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</row>
    <row r="2">
      <c r="A2" s="31" t="s">
        <v>149</v>
      </c>
      <c r="B2" s="32" t="s">
        <v>150</v>
      </c>
      <c r="C2" s="31" t="s">
        <v>151</v>
      </c>
      <c r="D2" s="30"/>
      <c r="E2" s="31" t="s">
        <v>152</v>
      </c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</row>
    <row r="3">
      <c r="A3" s="33" t="s">
        <v>153</v>
      </c>
      <c r="B3" s="34" t="s">
        <v>154</v>
      </c>
      <c r="C3" s="35" t="s">
        <v>155</v>
      </c>
      <c r="D3" s="36"/>
      <c r="E3" s="36" t="str">
        <f>ATBASH(C3)</f>
        <v>GLOW</v>
      </c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3" t="s">
        <v>156</v>
      </c>
      <c r="B4" s="34" t="s">
        <v>157</v>
      </c>
      <c r="C4" s="35" t="s">
        <v>158</v>
      </c>
      <c r="D4" s="35" t="s">
        <v>159</v>
      </c>
      <c r="E4" s="36" t="str">
        <f>INTERSECT(C4,D4)</f>
        <v>ACEGHILOPRSTY</v>
      </c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7" t="s">
        <v>160</v>
      </c>
      <c r="B5" s="38" t="s">
        <v>161</v>
      </c>
      <c r="C5" s="39" t="s">
        <v>162</v>
      </c>
      <c r="D5" s="39" t="s">
        <v>163</v>
      </c>
      <c r="E5" s="36" t="str">
        <f>MSET_ISEC(C5,D5)</f>
        <v>AAB</v>
      </c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7" t="s">
        <v>164</v>
      </c>
      <c r="B6" s="38" t="s">
        <v>165</v>
      </c>
      <c r="C6" s="39" t="s">
        <v>162</v>
      </c>
      <c r="D6" s="39" t="s">
        <v>163</v>
      </c>
      <c r="E6" s="36" t="str">
        <f>MSET_UNION(C6,D6)</f>
        <v>AAABBCEGNN</v>
      </c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7" t="s">
        <v>166</v>
      </c>
      <c r="B7" s="38" t="s">
        <v>167</v>
      </c>
      <c r="C7" s="39" t="s">
        <v>162</v>
      </c>
      <c r="D7" s="39" t="s">
        <v>163</v>
      </c>
      <c r="E7" s="36" t="str">
        <f>MSET_DIFF(C7,D7)</f>
        <v>BCEG</v>
      </c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7" t="s">
        <v>168</v>
      </c>
      <c r="B8" s="38" t="s">
        <v>169</v>
      </c>
      <c r="C8" s="39" t="s">
        <v>162</v>
      </c>
      <c r="D8" s="39" t="s">
        <v>163</v>
      </c>
      <c r="E8" s="36" t="str">
        <f>MSET_SUM(C8,D8)</f>
        <v>AAAAABBBCEGNN</v>
      </c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40" t="s">
        <v>170</v>
      </c>
      <c r="B9" s="41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</row>
    <row r="10">
      <c r="A10" s="33" t="s">
        <v>171</v>
      </c>
      <c r="B10" s="34" t="s">
        <v>172</v>
      </c>
      <c r="C10" s="35" t="s">
        <v>173</v>
      </c>
      <c r="D10" s="36"/>
      <c r="E10" s="42">
        <f t="shared" ref="E10:E11" si="1">EVAL(C10)</f>
        <v>-1</v>
      </c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6"/>
      <c r="B11" s="43" t="s">
        <v>174</v>
      </c>
      <c r="C11" s="35" t="s">
        <v>175</v>
      </c>
      <c r="D11" s="36"/>
      <c r="E11" s="42">
        <f t="shared" si="1"/>
        <v>0.15</v>
      </c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3" t="s">
        <v>176</v>
      </c>
      <c r="B12" s="44" t="s">
        <v>177</v>
      </c>
      <c r="C12" s="45">
        <v>1819657.0</v>
      </c>
      <c r="D12" s="36"/>
      <c r="E12" s="46" t="b">
        <f t="shared" ref="E12:E13" si="2">ISPRIME(C12)</f>
        <v>0</v>
      </c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6"/>
      <c r="B13" s="36"/>
      <c r="C13" s="45">
        <v>694201.0</v>
      </c>
      <c r="D13" s="36"/>
      <c r="E13" s="46" t="b">
        <f t="shared" si="2"/>
        <v>1</v>
      </c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40" t="s">
        <v>178</v>
      </c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</row>
    <row r="15">
      <c r="A15" s="33" t="s">
        <v>179</v>
      </c>
      <c r="B15" s="34" t="s">
        <v>180</v>
      </c>
      <c r="C15" s="35" t="s">
        <v>181</v>
      </c>
      <c r="D15" s="36"/>
      <c r="E15" s="42">
        <f t="shared" ref="E15:E18" si="3">ATOMIC_MASS(C15)</f>
        <v>28.085</v>
      </c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6"/>
      <c r="B16" s="47" t="s">
        <v>182</v>
      </c>
      <c r="C16" s="35" t="s">
        <v>183</v>
      </c>
      <c r="D16" s="36"/>
      <c r="E16" s="42">
        <f t="shared" si="3"/>
        <v>58.319</v>
      </c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6"/>
      <c r="B17" s="34" t="s">
        <v>184</v>
      </c>
      <c r="C17" s="35" t="s">
        <v>185</v>
      </c>
      <c r="D17" s="36"/>
      <c r="E17" s="42">
        <f t="shared" si="3"/>
        <v>165.2265</v>
      </c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6"/>
      <c r="B18" s="36"/>
      <c r="C18" s="35" t="s">
        <v>186</v>
      </c>
      <c r="D18" s="36"/>
      <c r="E18" s="42">
        <f t="shared" si="3"/>
        <v>85.941</v>
      </c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3" t="s">
        <v>187</v>
      </c>
      <c r="B19" s="34" t="s">
        <v>188</v>
      </c>
      <c r="C19" s="35" t="s">
        <v>189</v>
      </c>
      <c r="D19" s="36"/>
      <c r="E19" s="36" t="str">
        <f>DNA_COMPLEMENT(C19)</f>
        <v>CTAATGT</v>
      </c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3" t="s">
        <v>190</v>
      </c>
      <c r="B20" s="34" t="s">
        <v>191</v>
      </c>
      <c r="C20" s="35" t="s">
        <v>192</v>
      </c>
      <c r="D20" s="36"/>
      <c r="E20" s="36" t="str">
        <f>RNA_COMPLEMENT(C20)</f>
        <v>CTUUTGT</v>
      </c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6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48" t="s">
        <v>193</v>
      </c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</row>
    <row r="23">
      <c r="A23" s="50" t="s">
        <v>149</v>
      </c>
      <c r="B23" s="51" t="s">
        <v>150</v>
      </c>
      <c r="C23" s="50" t="s">
        <v>151</v>
      </c>
      <c r="D23" s="49"/>
      <c r="E23" s="49"/>
      <c r="F23" s="49"/>
      <c r="G23" s="49"/>
      <c r="H23" s="49"/>
      <c r="I23" s="50" t="s">
        <v>152</v>
      </c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</row>
    <row r="24">
      <c r="A24" s="52" t="s">
        <v>194</v>
      </c>
      <c r="B24" s="53" t="s">
        <v>195</v>
      </c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4"/>
      <c r="AC24" s="54"/>
      <c r="AD24" s="54"/>
      <c r="AE24" s="54"/>
      <c r="AF24" s="54"/>
      <c r="AG24" s="54"/>
    </row>
    <row r="25">
      <c r="A25" s="33" t="s">
        <v>196</v>
      </c>
      <c r="B25" s="34" t="s">
        <v>197</v>
      </c>
      <c r="C25" s="35" t="s">
        <v>198</v>
      </c>
      <c r="D25" s="36"/>
      <c r="E25" s="36"/>
      <c r="F25" s="36"/>
      <c r="G25" s="36"/>
      <c r="H25" s="36"/>
      <c r="I25" s="36" t="str">
        <f>AMBIG_BINARY(C25)</f>
        <v>IKMO</v>
      </c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6"/>
      <c r="B26" s="34" t="s">
        <v>199</v>
      </c>
      <c r="C26" s="55">
        <v>1.0</v>
      </c>
      <c r="D26" s="56"/>
      <c r="E26" s="57">
        <v>0.0</v>
      </c>
      <c r="F26" s="57">
        <v>0.0</v>
      </c>
      <c r="G26" s="58"/>
      <c r="H26" s="36"/>
      <c r="I26" s="36" t="str">
        <f>AMBIG_BINARY(C26:G26)</f>
        <v>PQXY</v>
      </c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3" t="s">
        <v>200</v>
      </c>
      <c r="B27" s="34" t="s">
        <v>201</v>
      </c>
      <c r="C27" s="59">
        <v>1.0</v>
      </c>
      <c r="D27" s="60"/>
      <c r="E27" s="36"/>
      <c r="F27" s="36"/>
      <c r="G27" s="36"/>
      <c r="H27" s="36"/>
      <c r="I27" s="36" t="str">
        <f>AMBIG_BRAILLE(C27:D29)</f>
        <v>AKUBLVCMXFP</v>
      </c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6"/>
      <c r="B28" s="36"/>
      <c r="C28" s="61"/>
      <c r="D28" s="62">
        <v>0.0</v>
      </c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6"/>
      <c r="B29" s="36"/>
      <c r="C29" s="63"/>
      <c r="D29" s="64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3" t="s">
        <v>202</v>
      </c>
      <c r="B30" s="34" t="s">
        <v>203</v>
      </c>
      <c r="C30" s="59">
        <v>1.0</v>
      </c>
      <c r="D30" s="65"/>
      <c r="E30" s="60"/>
      <c r="F30" s="36"/>
      <c r="G30" s="36"/>
      <c r="H30" s="36"/>
      <c r="I30" s="36" t="str">
        <f>AMBIG_SEMAPHORE(C30:E32)</f>
        <v>IYOUT</v>
      </c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6"/>
      <c r="B31" s="36"/>
      <c r="C31" s="61"/>
      <c r="D31" s="36"/>
      <c r="E31" s="6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6"/>
      <c r="B32" s="36"/>
      <c r="C32" s="63"/>
      <c r="D32" s="67">
        <v>0.0</v>
      </c>
      <c r="E32" s="64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3" t="s">
        <v>204</v>
      </c>
      <c r="B33" s="34" t="s">
        <v>205</v>
      </c>
      <c r="C33" s="35" t="s">
        <v>206</v>
      </c>
      <c r="D33" s="36"/>
      <c r="E33" s="36"/>
      <c r="F33" s="36"/>
      <c r="G33" s="36"/>
      <c r="H33" s="36"/>
      <c r="I33" s="36" t="str">
        <f t="shared" ref="I33:I34" si="4">AMBIG_MORSE(C33)</f>
        <v>RW</v>
      </c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6"/>
      <c r="B34" s="36"/>
      <c r="C34" s="35" t="s">
        <v>207</v>
      </c>
      <c r="D34" s="36"/>
      <c r="E34" s="36"/>
      <c r="F34" s="36"/>
      <c r="G34" s="36"/>
      <c r="H34" s="36"/>
      <c r="I34" s="36" t="str">
        <f t="shared" si="4"/>
        <v>AEFHIJLPRSUVW</v>
      </c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68" t="s">
        <v>208</v>
      </c>
      <c r="B35" s="69" t="s">
        <v>209</v>
      </c>
      <c r="C35" s="35" t="s">
        <v>210</v>
      </c>
      <c r="D35" s="36"/>
      <c r="E35" s="36"/>
      <c r="F35" s="36"/>
      <c r="G35" s="36"/>
      <c r="H35" s="36"/>
      <c r="I35" s="36" t="str">
        <f>AMBIG_AMINO(C35)</f>
        <v>Z</v>
      </c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3" t="s">
        <v>211</v>
      </c>
      <c r="B36" s="34" t="s">
        <v>212</v>
      </c>
      <c r="C36" s="35" t="s">
        <v>213</v>
      </c>
      <c r="D36" s="36"/>
      <c r="E36" s="36"/>
      <c r="F36" s="36"/>
      <c r="G36" s="36"/>
      <c r="H36" s="36"/>
      <c r="I36" s="36" t="str">
        <f>AMBIG_TERNARY(C36)</f>
        <v>FGH</v>
      </c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6"/>
      <c r="B37" s="34" t="s">
        <v>214</v>
      </c>
      <c r="C37" s="55">
        <v>2.0</v>
      </c>
      <c r="D37" s="56"/>
      <c r="E37" s="70">
        <v>1.0</v>
      </c>
      <c r="F37" s="36"/>
      <c r="G37" s="36"/>
      <c r="H37" s="36"/>
      <c r="I37" s="36" t="str">
        <f>AMBIG_TERNARY(C37:E37)</f>
        <v>SVY</v>
      </c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3" t="s">
        <v>215</v>
      </c>
      <c r="B38" s="34" t="s">
        <v>216</v>
      </c>
      <c r="C38" s="45">
        <v>3.0</v>
      </c>
      <c r="D38" s="36"/>
      <c r="E38" s="36"/>
      <c r="F38" s="36"/>
      <c r="G38" s="36"/>
      <c r="H38" s="36"/>
      <c r="I38" s="36" t="str">
        <f>BINARY_COUNT(3)</f>
        <v>GKMNSUVYZ</v>
      </c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3" t="s">
        <v>217</v>
      </c>
      <c r="B39" s="34" t="s">
        <v>218</v>
      </c>
      <c r="C39" s="45">
        <v>3.0</v>
      </c>
      <c r="D39" s="36"/>
      <c r="E39" s="36"/>
      <c r="F39" s="36"/>
      <c r="G39" s="36"/>
      <c r="H39" s="36"/>
      <c r="I39" s="36" t="str">
        <f>BRAILLE_COUNT(C39)</f>
        <v>DFHJLMOSU</v>
      </c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3" t="s">
        <v>219</v>
      </c>
      <c r="B40" s="34" t="s">
        <v>220</v>
      </c>
      <c r="C40" s="45">
        <v>3.0</v>
      </c>
      <c r="D40" s="45">
        <v>123450.0</v>
      </c>
      <c r="E40" s="45">
        <v>123450.0</v>
      </c>
      <c r="F40" s="36" t="s">
        <v>221</v>
      </c>
      <c r="G40" s="36"/>
      <c r="H40" s="36"/>
      <c r="I40" s="36" t="str">
        <f>MORSE_COUNT(C40,D40,E40)</f>
        <v>DGKORSUW</v>
      </c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3" t="s">
        <v>222</v>
      </c>
      <c r="B41" s="34" t="s">
        <v>223</v>
      </c>
      <c r="C41" s="45">
        <v>3.0</v>
      </c>
      <c r="D41" s="36"/>
      <c r="E41" s="36"/>
      <c r="F41" s="36"/>
      <c r="G41" s="36"/>
      <c r="H41" s="36"/>
      <c r="I41" s="36" t="str">
        <f>SEMAPHORE_ANGLE(C41)</f>
        <v>VEMSCKQY</v>
      </c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52" t="s">
        <v>224</v>
      </c>
      <c r="B42" s="54"/>
      <c r="C42" s="54"/>
      <c r="D42" s="54"/>
      <c r="E42" s="54"/>
      <c r="F42" s="54"/>
      <c r="G42" s="54"/>
      <c r="H42" s="54"/>
      <c r="I42" s="50" t="s">
        <v>152</v>
      </c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</row>
    <row r="43">
      <c r="A43" s="33" t="s">
        <v>225</v>
      </c>
      <c r="B43" s="34" t="s">
        <v>226</v>
      </c>
      <c r="C43" s="35" t="s">
        <v>227</v>
      </c>
      <c r="D43" s="36"/>
      <c r="E43" s="36"/>
      <c r="F43" s="36"/>
      <c r="G43" s="36"/>
      <c r="H43" s="36"/>
      <c r="I43" s="42">
        <f>A1Z26SUM(C43)</f>
        <v>100</v>
      </c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3" t="s">
        <v>228</v>
      </c>
      <c r="B44" s="34" t="s">
        <v>229</v>
      </c>
      <c r="C44" s="35" t="s">
        <v>230</v>
      </c>
      <c r="D44" s="35" t="s">
        <v>231</v>
      </c>
      <c r="E44" s="35" t="s">
        <v>232</v>
      </c>
      <c r="F44" s="36"/>
      <c r="G44" s="36"/>
      <c r="H44" s="36"/>
      <c r="I44" s="36" t="str">
        <f>SUB_CIPHER(C44,D44,E44)</f>
        <v>odyssey</v>
      </c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3" t="s">
        <v>233</v>
      </c>
      <c r="B45" s="34" t="s">
        <v>234</v>
      </c>
      <c r="C45" s="35" t="s">
        <v>235</v>
      </c>
      <c r="D45" s="36"/>
      <c r="E45" s="36"/>
      <c r="F45" s="36"/>
      <c r="G45" s="36"/>
      <c r="H45" s="36"/>
      <c r="I45" s="36" t="str">
        <f>TO_PHONESPELL(C45)</f>
        <v>62626665</v>
      </c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3" t="s">
        <v>236</v>
      </c>
      <c r="B46" s="34" t="s">
        <v>237</v>
      </c>
      <c r="C46" s="45">
        <v>2345678.0</v>
      </c>
      <c r="D46" s="36"/>
      <c r="E46" s="36"/>
      <c r="F46" s="36"/>
      <c r="G46" s="36"/>
      <c r="H46" s="36"/>
      <c r="I46" s="71" t="str">
        <f t="array" ref="I46:I50">FROM_PHONESPELL(C46)</f>
        <v>https://nutrimatic.org/?q=[abc][def][ghi][jkl][mno][pqrs][tuv]</v>
      </c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6"/>
      <c r="B47" s="36"/>
      <c r="C47" s="36"/>
      <c r="D47" s="36"/>
      <c r="E47" s="36"/>
      <c r="F47" s="36"/>
      <c r="G47" s="36"/>
      <c r="H47" s="36"/>
      <c r="I47" s="72" t="s">
        <v>238</v>
      </c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6"/>
      <c r="B48" s="36"/>
      <c r="C48" s="36"/>
      <c r="D48" s="36"/>
      <c r="E48" s="36"/>
      <c r="F48" s="36"/>
      <c r="G48" s="36"/>
      <c r="H48" s="36"/>
      <c r="I48" s="72" t="s">
        <v>239</v>
      </c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6"/>
      <c r="B49" s="36"/>
      <c r="C49" s="36"/>
      <c r="D49" s="36"/>
      <c r="E49" s="36"/>
      <c r="F49" s="36"/>
      <c r="G49" s="36"/>
      <c r="H49" s="36"/>
      <c r="I49" s="72" t="s">
        <v>240</v>
      </c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6"/>
      <c r="B50" s="36"/>
      <c r="C50" s="36"/>
      <c r="D50" s="36"/>
      <c r="E50" s="36"/>
      <c r="F50" s="36"/>
      <c r="G50" s="36"/>
      <c r="H50" s="36"/>
      <c r="I50" s="73" t="s">
        <v>241</v>
      </c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29" t="s">
        <v>242</v>
      </c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</row>
    <row r="53">
      <c r="A53" s="31" t="s">
        <v>149</v>
      </c>
      <c r="B53" s="32" t="s">
        <v>150</v>
      </c>
      <c r="C53" s="31" t="s">
        <v>151</v>
      </c>
      <c r="D53" s="30"/>
      <c r="E53" s="30"/>
      <c r="F53" s="31" t="s">
        <v>152</v>
      </c>
      <c r="G53" s="30" t="s">
        <v>243</v>
      </c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</row>
    <row r="54">
      <c r="A54" s="33" t="s">
        <v>244</v>
      </c>
      <c r="B54" s="34" t="s">
        <v>245</v>
      </c>
      <c r="C54" s="74" t="s">
        <v>246</v>
      </c>
      <c r="D54" s="36"/>
      <c r="E54" s="36"/>
      <c r="F54" s="71" t="str">
        <f t="array" ref="F54:F58">NUTRI(C54:C61)</f>
        <v>https://nutrimatic.org/?q=f_i_p__[aeiouy]</v>
      </c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3" t="s">
        <v>247</v>
      </c>
      <c r="B55" s="34" t="s">
        <v>248</v>
      </c>
      <c r="C55" s="72" t="s">
        <v>249</v>
      </c>
      <c r="D55" s="36"/>
      <c r="E55" s="36"/>
      <c r="F55" s="72" t="s">
        <v>250</v>
      </c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6"/>
      <c r="B56" s="36"/>
      <c r="C56" s="72" t="s">
        <v>251</v>
      </c>
      <c r="D56" s="36"/>
      <c r="E56" s="36"/>
      <c r="F56" s="72" t="s">
        <v>252</v>
      </c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6"/>
      <c r="B57" s="36"/>
      <c r="C57" s="72" t="s">
        <v>249</v>
      </c>
      <c r="D57" s="36"/>
      <c r="E57" s="36"/>
      <c r="F57" s="72" t="s">
        <v>253</v>
      </c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6"/>
      <c r="B58" s="36"/>
      <c r="C58" s="72" t="s">
        <v>254</v>
      </c>
      <c r="D58" s="36"/>
      <c r="E58" s="36"/>
      <c r="F58" s="73" t="s">
        <v>255</v>
      </c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6"/>
      <c r="B59" s="36"/>
      <c r="C59" s="72" t="s">
        <v>249</v>
      </c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6"/>
      <c r="B60" s="36"/>
      <c r="C60" s="72" t="s">
        <v>249</v>
      </c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6"/>
      <c r="B61" s="36"/>
      <c r="C61" s="73" t="s">
        <v>256</v>
      </c>
      <c r="D61" s="36" t="s">
        <v>257</v>
      </c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3" t="s">
        <v>258</v>
      </c>
      <c r="B62" s="34" t="s">
        <v>259</v>
      </c>
      <c r="C62" s="36" t="s">
        <v>260</v>
      </c>
      <c r="D62" s="36"/>
      <c r="E62" s="36"/>
      <c r="F62" s="71" t="str">
        <f t="array" ref="F62:F66">NUTRIQUERY(C62)</f>
        <v>https://nutrimatic.org/?q=&lt;benoisy&gt;</v>
      </c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6"/>
      <c r="B63" s="36"/>
      <c r="C63" s="36"/>
      <c r="D63" s="36"/>
      <c r="E63" s="36"/>
      <c r="F63" s="72" t="s">
        <v>261</v>
      </c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6"/>
      <c r="B64" s="36"/>
      <c r="C64" s="36"/>
      <c r="D64" s="36"/>
      <c r="E64" s="36"/>
      <c r="F64" s="72" t="s">
        <v>262</v>
      </c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6"/>
      <c r="B65" s="36"/>
      <c r="C65" s="36"/>
      <c r="D65" s="36"/>
      <c r="E65" s="36"/>
      <c r="F65" s="72" t="s">
        <v>263</v>
      </c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6"/>
      <c r="B66" s="36"/>
      <c r="C66" s="36"/>
      <c r="D66" s="36"/>
      <c r="E66" s="36"/>
      <c r="F66" s="73" t="s">
        <v>264</v>
      </c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3" t="s">
        <v>265</v>
      </c>
      <c r="B67" s="34" t="s">
        <v>266</v>
      </c>
      <c r="C67" s="36"/>
      <c r="D67" s="36"/>
      <c r="E67" s="36"/>
      <c r="F67" s="75" t="str">
        <f>QAT(C54:C61)</f>
        <v>https://quinapalus.com/cgi-bin/qat?pat=f.i.p..[aeiouy]</v>
      </c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29" t="s">
        <v>267</v>
      </c>
      <c r="B72" s="30"/>
      <c r="C72" s="30" t="s">
        <v>268</v>
      </c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</row>
    <row r="73">
      <c r="A73" s="31" t="s">
        <v>149</v>
      </c>
      <c r="B73" s="32" t="s">
        <v>150</v>
      </c>
      <c r="C73" s="31" t="s">
        <v>151</v>
      </c>
      <c r="D73" s="30"/>
      <c r="E73" s="30"/>
      <c r="F73" s="31" t="s">
        <v>152</v>
      </c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</row>
    <row r="74">
      <c r="A74" s="33" t="s">
        <v>269</v>
      </c>
      <c r="B74" s="34" t="s">
        <v>270</v>
      </c>
      <c r="C74" s="36" t="s">
        <v>271</v>
      </c>
      <c r="D74" s="42">
        <v>4.0</v>
      </c>
      <c r="E74" s="36"/>
      <c r="F74" s="36" t="str">
        <f>LEFT_ALL_BUT(C74,D74)</f>
        <v>TAKE OUT THE LAST</v>
      </c>
      <c r="G74" s="36"/>
      <c r="H74" s="76" t="s">
        <v>272</v>
      </c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3" t="s">
        <v>273</v>
      </c>
      <c r="B75" s="34" t="s">
        <v>274</v>
      </c>
      <c r="C75" s="77" t="s">
        <v>275</v>
      </c>
      <c r="D75" s="78">
        <v>1.0</v>
      </c>
      <c r="E75" s="36"/>
      <c r="F75" s="36" t="str">
        <f>TO_ARRAY(C75:D76)</f>
        <v>["a",1,2,"b"]</v>
      </c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3" t="s">
        <v>276</v>
      </c>
      <c r="B76" s="34" t="s">
        <v>277</v>
      </c>
      <c r="C76" s="79">
        <v>2.0</v>
      </c>
      <c r="D76" s="64" t="s">
        <v>278</v>
      </c>
      <c r="E76" s="36"/>
      <c r="F76" s="36" t="str">
        <f>TO_2D_ARRAY(C75:D76)</f>
        <v>[["a",1],[2,"b"]]</v>
      </c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3" t="s">
        <v>279</v>
      </c>
      <c r="B77" s="34" t="s">
        <v>280</v>
      </c>
      <c r="C77" s="36"/>
      <c r="D77" s="36"/>
      <c r="E77" s="36"/>
      <c r="F77" s="36" t="str">
        <f>TO_SHEET_ARRAY(C75:D76)</f>
        <v>={"a",1;2,"b"}</v>
      </c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80" t="s">
        <v>281</v>
      </c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  <c r="AD78" s="81"/>
      <c r="AE78" s="81"/>
      <c r="AF78" s="81"/>
      <c r="AG78" s="81"/>
    </row>
    <row r="79">
      <c r="A79" s="82" t="s">
        <v>149</v>
      </c>
      <c r="B79" s="83" t="s">
        <v>150</v>
      </c>
      <c r="C79" s="82" t="s">
        <v>282</v>
      </c>
      <c r="D79" s="81"/>
      <c r="E79" s="82" t="s">
        <v>283</v>
      </c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  <c r="AD79" s="81"/>
      <c r="AE79" s="81"/>
      <c r="AF79" s="81"/>
      <c r="AG79" s="81"/>
    </row>
    <row r="80">
      <c r="A80" s="33" t="s">
        <v>251</v>
      </c>
      <c r="B80" s="34" t="s">
        <v>284</v>
      </c>
      <c r="C80" s="74" t="s">
        <v>285</v>
      </c>
      <c r="D80" s="84">
        <v>2.0</v>
      </c>
      <c r="E80" s="41" t="str">
        <f>I(C80:C83,D80:D83)</f>
        <v>N</v>
      </c>
      <c r="F80" s="36" t="s">
        <v>286</v>
      </c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6"/>
      <c r="B81" s="34" t="s">
        <v>287</v>
      </c>
      <c r="C81" s="72"/>
      <c r="D81" s="85">
        <v>3.0</v>
      </c>
      <c r="E81" s="41" t="s">
        <v>249</v>
      </c>
      <c r="F81" s="36" t="s">
        <v>288</v>
      </c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6"/>
      <c r="B82" s="36"/>
      <c r="C82" s="72"/>
      <c r="D82" s="72"/>
      <c r="E82" s="41" t="s">
        <v>289</v>
      </c>
      <c r="F82" s="36" t="s">
        <v>290</v>
      </c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6"/>
      <c r="B83" s="36"/>
      <c r="C83" s="73" t="s">
        <v>291</v>
      </c>
      <c r="D83" s="73" t="s">
        <v>292</v>
      </c>
      <c r="E83" s="41" t="s">
        <v>249</v>
      </c>
      <c r="F83" s="36" t="s">
        <v>293</v>
      </c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3" t="s">
        <v>294</v>
      </c>
      <c r="B85" s="34" t="s">
        <v>295</v>
      </c>
      <c r="C85" s="74" t="s">
        <v>296</v>
      </c>
      <c r="D85" s="36"/>
      <c r="E85" s="36" t="s">
        <v>297</v>
      </c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6"/>
      <c r="B86" s="34" t="s">
        <v>298</v>
      </c>
      <c r="C86" s="72" t="s">
        <v>299</v>
      </c>
      <c r="D86" s="36"/>
      <c r="E86" s="41" t="str">
        <f>MULTIINDEX(C85:C88,3)</f>
        <v>GAIT</v>
      </c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6"/>
      <c r="B87" s="36"/>
      <c r="C87" s="72" t="s">
        <v>300</v>
      </c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6"/>
      <c r="B88" s="36"/>
      <c r="C88" s="73" t="s">
        <v>301</v>
      </c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3" t="s">
        <v>302</v>
      </c>
      <c r="B90" s="34" t="s">
        <v>303</v>
      </c>
      <c r="C90" s="74" t="s">
        <v>304</v>
      </c>
      <c r="D90" s="36"/>
      <c r="E90" s="36" t="s">
        <v>305</v>
      </c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6"/>
      <c r="B91" s="36"/>
      <c r="C91" s="72" t="s">
        <v>306</v>
      </c>
      <c r="D91" s="36"/>
      <c r="E91" s="41" t="str">
        <f>PAIRINDEX(E90,C90:C100)</f>
        <v>OATMEAL</v>
      </c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6"/>
      <c r="B92" s="36"/>
      <c r="C92" s="72" t="s">
        <v>307</v>
      </c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6"/>
      <c r="B93" s="36"/>
      <c r="C93" s="72" t="s">
        <v>308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6"/>
      <c r="B94" s="36"/>
      <c r="C94" s="72" t="s">
        <v>309</v>
      </c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6"/>
      <c r="B95" s="36"/>
      <c r="C95" s="72" t="s">
        <v>310</v>
      </c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6"/>
      <c r="B96" s="36"/>
      <c r="C96" s="72" t="s">
        <v>311</v>
      </c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6"/>
      <c r="B97" s="36"/>
      <c r="C97" s="72" t="s">
        <v>312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6"/>
      <c r="B98" s="36"/>
      <c r="C98" s="72" t="s">
        <v>313</v>
      </c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6"/>
      <c r="B99" s="36"/>
      <c r="C99" s="72" t="s">
        <v>314</v>
      </c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6"/>
      <c r="B100" s="36"/>
      <c r="C100" s="73" t="s">
        <v>315</v>
      </c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3" t="s">
        <v>316</v>
      </c>
      <c r="B102" s="34" t="s">
        <v>317</v>
      </c>
      <c r="C102" s="74" t="s">
        <v>275</v>
      </c>
      <c r="D102" s="74" t="s">
        <v>318</v>
      </c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6"/>
      <c r="B103" s="36"/>
      <c r="C103" s="72" t="s">
        <v>278</v>
      </c>
      <c r="D103" s="72" t="s">
        <v>319</v>
      </c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6"/>
      <c r="B104" s="36"/>
      <c r="C104" s="73" t="s">
        <v>320</v>
      </c>
      <c r="D104" s="73" t="s">
        <v>321</v>
      </c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6"/>
      <c r="B106" s="36"/>
      <c r="C106" s="36" t="s">
        <v>322</v>
      </c>
      <c r="D106" s="36"/>
      <c r="E106" s="41" t="str">
        <f>SUB_CIPHER_ARR(C106,C102:C104,D102:D104)</f>
        <v>ABRACADABRA</v>
      </c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3" t="s">
        <v>323</v>
      </c>
      <c r="B109" s="34" t="s">
        <v>324</v>
      </c>
      <c r="C109" s="74" t="s">
        <v>325</v>
      </c>
      <c r="D109" s="36"/>
      <c r="E109" s="41" t="str">
        <f>UNBLANK(C109:C113)</f>
        <v>Clue 1: This</v>
      </c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6"/>
      <c r="B110" s="34" t="s">
        <v>326</v>
      </c>
      <c r="C110" s="86" t="s">
        <v>292</v>
      </c>
      <c r="D110" s="36"/>
      <c r="E110" s="41" t="s">
        <v>289</v>
      </c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6"/>
      <c r="B111" s="38" t="s">
        <v>327</v>
      </c>
      <c r="C111" s="72" t="s">
        <v>328</v>
      </c>
      <c r="D111" s="36"/>
      <c r="E111" s="41" t="s">
        <v>328</v>
      </c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6"/>
      <c r="B112" s="36"/>
      <c r="C112" s="72"/>
      <c r="D112" s="36"/>
      <c r="E112" s="41" t="s">
        <v>329</v>
      </c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6"/>
      <c r="B113" s="36"/>
      <c r="C113" s="73" t="s">
        <v>329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3" t="s">
        <v>330</v>
      </c>
      <c r="B115" s="32" t="s">
        <v>331</v>
      </c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6"/>
      <c r="B116" s="36"/>
      <c r="C116" s="36"/>
      <c r="D116" s="36"/>
      <c r="E116" s="33" t="s">
        <v>332</v>
      </c>
      <c r="F116" s="36"/>
      <c r="G116" s="36"/>
      <c r="H116" s="33" t="s">
        <v>332</v>
      </c>
      <c r="I116" s="36"/>
      <c r="J116" s="36"/>
      <c r="K116" s="33" t="s">
        <v>333</v>
      </c>
      <c r="L116" s="36"/>
      <c r="M116" s="37" t="s">
        <v>334</v>
      </c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3" t="s">
        <v>332</v>
      </c>
      <c r="B117" s="34" t="s">
        <v>335</v>
      </c>
      <c r="C117" s="74" t="s">
        <v>304</v>
      </c>
      <c r="D117" s="36"/>
      <c r="E117" s="42">
        <v>3.0</v>
      </c>
      <c r="F117" s="36" t="s">
        <v>336</v>
      </c>
      <c r="G117" s="36"/>
      <c r="H117" s="42">
        <v>1.0</v>
      </c>
      <c r="I117" s="36" t="s">
        <v>337</v>
      </c>
      <c r="J117" s="36"/>
      <c r="K117" s="42">
        <v>5.0</v>
      </c>
      <c r="L117" s="36"/>
      <c r="M117" s="87" t="s">
        <v>338</v>
      </c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3" t="s">
        <v>333</v>
      </c>
      <c r="B118" s="34" t="s">
        <v>339</v>
      </c>
      <c r="C118" s="72" t="s">
        <v>306</v>
      </c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6" t="s">
        <v>333</v>
      </c>
      <c r="B119" s="76" t="s">
        <v>340</v>
      </c>
      <c r="C119" s="72" t="s">
        <v>307</v>
      </c>
      <c r="D119" s="36"/>
      <c r="E119" s="88" t="str">
        <f>FILTER_NTH_LETTER(C117:C127,E117,F117)</f>
        <v>THERE</v>
      </c>
      <c r="F119" s="36"/>
      <c r="G119" s="36"/>
      <c r="H119" s="88" t="str">
        <f>FILTER_NTH_LETTER(C117:C127,H117,I117)</f>
        <v>ARE</v>
      </c>
      <c r="I119" s="36"/>
      <c r="J119" s="36"/>
      <c r="K119" s="88" t="str">
        <f>FILTER_LENGTH(C117:C127,K117)</f>
        <v>MAYBE</v>
      </c>
      <c r="L119" s="36"/>
      <c r="M119" s="88" t="str">
        <f>FILTER_BY_LAMBDA(C117:C127,LAMBDA(x,len(x)&gt;5))</f>
        <v>INDICES</v>
      </c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6"/>
      <c r="B120" s="36"/>
      <c r="C120" s="72" t="s">
        <v>308</v>
      </c>
      <c r="D120" s="36"/>
      <c r="E120" s="88" t="s">
        <v>307</v>
      </c>
      <c r="F120" s="36"/>
      <c r="G120" s="36"/>
      <c r="H120" s="88" t="s">
        <v>311</v>
      </c>
      <c r="I120" s="36"/>
      <c r="J120" s="36"/>
      <c r="K120" s="88" t="s">
        <v>306</v>
      </c>
      <c r="L120" s="36"/>
      <c r="M120" s="88" t="s">
        <v>314</v>
      </c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6"/>
      <c r="B121" s="36"/>
      <c r="C121" s="72" t="s">
        <v>309</v>
      </c>
      <c r="D121" s="36"/>
      <c r="E121" s="88" t="s">
        <v>313</v>
      </c>
      <c r="F121" s="36"/>
      <c r="G121" s="36"/>
      <c r="H121" s="88" t="s">
        <v>313</v>
      </c>
      <c r="I121" s="36"/>
      <c r="J121" s="36"/>
      <c r="K121" s="88" t="s">
        <v>309</v>
      </c>
      <c r="L121" s="36"/>
      <c r="M121" s="88" t="s">
        <v>315</v>
      </c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6"/>
      <c r="B122" s="36"/>
      <c r="C122" s="72" t="s">
        <v>310</v>
      </c>
      <c r="D122" s="36"/>
      <c r="E122" s="36"/>
      <c r="F122" s="36"/>
      <c r="G122" s="36"/>
      <c r="H122" s="88" t="s">
        <v>314</v>
      </c>
      <c r="I122" s="36"/>
      <c r="J122" s="36"/>
      <c r="K122" s="88" t="s">
        <v>313</v>
      </c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6"/>
      <c r="B123" s="36"/>
      <c r="C123" s="72" t="s">
        <v>311</v>
      </c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6"/>
      <c r="B124" s="36"/>
      <c r="C124" s="72" t="s">
        <v>312</v>
      </c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6"/>
      <c r="B125" s="36"/>
      <c r="C125" s="72" t="s">
        <v>313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6"/>
      <c r="B126" s="36"/>
      <c r="C126" s="72" t="s">
        <v>314</v>
      </c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6"/>
      <c r="B127" s="36"/>
      <c r="C127" s="73" t="s">
        <v>315</v>
      </c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6"/>
      <c r="B128" s="36"/>
      <c r="C128" s="36"/>
      <c r="D128" s="36"/>
      <c r="E128" s="89" t="s">
        <v>341</v>
      </c>
      <c r="F128" s="36"/>
      <c r="G128" s="36"/>
      <c r="H128" s="89" t="s">
        <v>342</v>
      </c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68" t="s">
        <v>343</v>
      </c>
      <c r="B129" s="34" t="s">
        <v>344</v>
      </c>
      <c r="C129" s="36"/>
      <c r="D129" s="36"/>
      <c r="E129" s="36" t="s">
        <v>345</v>
      </c>
      <c r="F129" s="36" t="s">
        <v>346</v>
      </c>
      <c r="G129" s="36"/>
      <c r="H129" s="36" t="s">
        <v>347</v>
      </c>
      <c r="I129" s="36" t="s">
        <v>348</v>
      </c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68" t="s">
        <v>347</v>
      </c>
      <c r="B130" s="34" t="s">
        <v>349</v>
      </c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6"/>
      <c r="B131" s="47" t="s">
        <v>350</v>
      </c>
      <c r="C131" s="36"/>
      <c r="D131" s="36"/>
      <c r="E131" s="88" t="str">
        <f>REGEXFILTER(C117:C127,F129)</f>
        <v>THERE</v>
      </c>
      <c r="F131" s="36"/>
      <c r="G131" s="36"/>
      <c r="H131" s="88" t="str">
        <f>REGEXFILTER_EXACT(C117:C127,I129)</f>
        <v>LATER</v>
      </c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6"/>
      <c r="B132" s="36"/>
      <c r="C132" s="36"/>
      <c r="D132" s="36"/>
      <c r="E132" s="88" t="s">
        <v>315</v>
      </c>
      <c r="F132" s="36"/>
      <c r="G132" s="36"/>
      <c r="H132" s="88" t="s">
        <v>314</v>
      </c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6"/>
      <c r="B136" s="34" t="s">
        <v>351</v>
      </c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3" t="s">
        <v>352</v>
      </c>
      <c r="B137" s="34" t="s">
        <v>353</v>
      </c>
      <c r="C137" s="77" t="s">
        <v>354</v>
      </c>
      <c r="D137" s="65" t="s">
        <v>355</v>
      </c>
      <c r="E137" s="60" t="s">
        <v>356</v>
      </c>
      <c r="F137" s="36" t="s">
        <v>352</v>
      </c>
      <c r="G137" s="88" t="str">
        <f>VFLIP(C137:E139)</f>
        <v>G7</v>
      </c>
      <c r="H137" s="88" t="s">
        <v>357</v>
      </c>
      <c r="I137" s="88" t="s">
        <v>358</v>
      </c>
      <c r="J137" s="36" t="s">
        <v>359</v>
      </c>
      <c r="K137" s="88" t="str">
        <f>HFLIP(C137:E139)</f>
        <v>C3</v>
      </c>
      <c r="L137" s="88" t="s">
        <v>355</v>
      </c>
      <c r="M137" s="88" t="s">
        <v>354</v>
      </c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3" t="s">
        <v>359</v>
      </c>
      <c r="B138" s="34" t="s">
        <v>360</v>
      </c>
      <c r="C138" s="61" t="s">
        <v>361</v>
      </c>
      <c r="D138" s="36" t="s">
        <v>362</v>
      </c>
      <c r="E138" s="66" t="s">
        <v>363</v>
      </c>
      <c r="F138" s="36"/>
      <c r="G138" s="88" t="s">
        <v>361</v>
      </c>
      <c r="H138" s="88" t="s">
        <v>362</v>
      </c>
      <c r="I138" s="88" t="s">
        <v>363</v>
      </c>
      <c r="J138" s="36"/>
      <c r="K138" s="88" t="s">
        <v>363</v>
      </c>
      <c r="L138" s="88" t="s">
        <v>362</v>
      </c>
      <c r="M138" s="88" t="s">
        <v>361</v>
      </c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3" t="s">
        <v>364</v>
      </c>
      <c r="B139" s="34" t="s">
        <v>365</v>
      </c>
      <c r="C139" s="63" t="s">
        <v>366</v>
      </c>
      <c r="D139" s="90" t="s">
        <v>357</v>
      </c>
      <c r="E139" s="64" t="s">
        <v>358</v>
      </c>
      <c r="F139" s="36"/>
      <c r="G139" s="88" t="s">
        <v>354</v>
      </c>
      <c r="H139" s="88" t="s">
        <v>355</v>
      </c>
      <c r="I139" s="88" t="s">
        <v>356</v>
      </c>
      <c r="J139" s="36"/>
      <c r="K139" s="88" t="s">
        <v>358</v>
      </c>
      <c r="L139" s="88" t="s">
        <v>357</v>
      </c>
      <c r="M139" s="88" t="s">
        <v>366</v>
      </c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3" t="s">
        <v>367</v>
      </c>
      <c r="B140" s="34" t="s">
        <v>368</v>
      </c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3" t="s">
        <v>369</v>
      </c>
      <c r="B141" s="34" t="s">
        <v>370</v>
      </c>
      <c r="C141" s="36"/>
      <c r="D141" s="36"/>
      <c r="E141" s="36"/>
      <c r="F141" s="36" t="s">
        <v>364</v>
      </c>
      <c r="G141" s="88" t="str">
        <f>ROTATE_CW(C137:E139)</f>
        <v>G7</v>
      </c>
      <c r="H141" s="88" t="s">
        <v>361</v>
      </c>
      <c r="I141" s="88" t="s">
        <v>354</v>
      </c>
      <c r="J141" s="36" t="s">
        <v>367</v>
      </c>
      <c r="K141" s="88" t="str">
        <f>ROTATE_CCW(C137:E139)</f>
        <v>C3</v>
      </c>
      <c r="L141" s="88" t="s">
        <v>363</v>
      </c>
      <c r="M141" s="88" t="s">
        <v>358</v>
      </c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3" t="s">
        <v>371</v>
      </c>
      <c r="B142" s="34" t="s">
        <v>372</v>
      </c>
      <c r="C142" s="36"/>
      <c r="D142" s="36"/>
      <c r="E142" s="36"/>
      <c r="F142" s="36"/>
      <c r="G142" s="88" t="s">
        <v>357</v>
      </c>
      <c r="H142" s="88" t="s">
        <v>362</v>
      </c>
      <c r="I142" s="88" t="s">
        <v>355</v>
      </c>
      <c r="J142" s="36"/>
      <c r="K142" s="88" t="s">
        <v>355</v>
      </c>
      <c r="L142" s="88" t="s">
        <v>362</v>
      </c>
      <c r="M142" s="88" t="s">
        <v>357</v>
      </c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6"/>
      <c r="B143" s="36"/>
      <c r="C143" s="36"/>
      <c r="D143" s="36"/>
      <c r="E143" s="36"/>
      <c r="F143" s="36"/>
      <c r="G143" s="88" t="s">
        <v>358</v>
      </c>
      <c r="H143" s="88" t="s">
        <v>363</v>
      </c>
      <c r="I143" s="88" t="s">
        <v>356</v>
      </c>
      <c r="J143" s="36"/>
      <c r="K143" s="88" t="s">
        <v>354</v>
      </c>
      <c r="L143" s="88" t="s">
        <v>361</v>
      </c>
      <c r="M143" s="88" t="s">
        <v>366</v>
      </c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6"/>
      <c r="B145" s="36"/>
      <c r="C145" s="36"/>
      <c r="D145" s="36"/>
      <c r="E145" s="36"/>
      <c r="F145" s="36" t="s">
        <v>369</v>
      </c>
      <c r="G145" s="88" t="str">
        <f>ROTATE_180(C137:E139)</f>
        <v>I9</v>
      </c>
      <c r="H145" s="88" t="s">
        <v>357</v>
      </c>
      <c r="I145" s="88" t="s">
        <v>366</v>
      </c>
      <c r="J145" s="36" t="s">
        <v>371</v>
      </c>
      <c r="K145" s="88" t="str">
        <f>TR(C137:E139)</f>
        <v>A1</v>
      </c>
      <c r="L145" s="88" t="s">
        <v>361</v>
      </c>
      <c r="M145" s="88" t="s">
        <v>366</v>
      </c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6"/>
      <c r="B146" s="36"/>
      <c r="C146" s="36"/>
      <c r="D146" s="36"/>
      <c r="E146" s="36"/>
      <c r="F146" s="36"/>
      <c r="G146" s="88" t="s">
        <v>363</v>
      </c>
      <c r="H146" s="88" t="s">
        <v>362</v>
      </c>
      <c r="I146" s="88" t="s">
        <v>361</v>
      </c>
      <c r="J146" s="36"/>
      <c r="K146" s="88" t="s">
        <v>355</v>
      </c>
      <c r="L146" s="88" t="s">
        <v>362</v>
      </c>
      <c r="M146" s="88" t="s">
        <v>357</v>
      </c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6"/>
      <c r="B147" s="36"/>
      <c r="C147" s="36"/>
      <c r="D147" s="36"/>
      <c r="E147" s="36"/>
      <c r="F147" s="36"/>
      <c r="G147" s="88" t="s">
        <v>356</v>
      </c>
      <c r="H147" s="88" t="s">
        <v>355</v>
      </c>
      <c r="I147" s="88" t="s">
        <v>354</v>
      </c>
      <c r="J147" s="36"/>
      <c r="K147" s="88" t="s">
        <v>356</v>
      </c>
      <c r="L147" s="88" t="s">
        <v>363</v>
      </c>
      <c r="M147" s="88" t="s">
        <v>358</v>
      </c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6"/>
      <c r="B149" s="36"/>
      <c r="C149" s="91" t="s">
        <v>373</v>
      </c>
      <c r="D149" s="92" t="s">
        <v>374</v>
      </c>
      <c r="E149" s="36"/>
      <c r="F149" s="88" t="str">
        <f>HISTOGRAM(C149:D153)</f>
        <v>cat</v>
      </c>
      <c r="G149" s="88">
        <v>4.0</v>
      </c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3" t="s">
        <v>375</v>
      </c>
      <c r="B150" s="38" t="s">
        <v>376</v>
      </c>
      <c r="C150" s="93" t="s">
        <v>377</v>
      </c>
      <c r="D150" s="94" t="s">
        <v>377</v>
      </c>
      <c r="E150" s="36"/>
      <c r="F150" s="88" t="s">
        <v>374</v>
      </c>
      <c r="G150" s="88">
        <v>2.0</v>
      </c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6"/>
      <c r="B151" s="36"/>
      <c r="C151" s="61"/>
      <c r="D151" s="94" t="s">
        <v>373</v>
      </c>
      <c r="E151" s="36"/>
      <c r="F151" s="88" t="s">
        <v>377</v>
      </c>
      <c r="G151" s="88">
        <v>2.0</v>
      </c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6"/>
      <c r="B152" s="36"/>
      <c r="C152" s="93" t="s">
        <v>374</v>
      </c>
      <c r="D152" s="94" t="s">
        <v>378</v>
      </c>
      <c r="E152" s="36"/>
      <c r="F152" s="88" t="s">
        <v>378</v>
      </c>
      <c r="G152" s="88">
        <v>1.0</v>
      </c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6"/>
      <c r="B153" s="36"/>
      <c r="C153" s="95" t="s">
        <v>373</v>
      </c>
      <c r="D153" s="96" t="s">
        <v>373</v>
      </c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6"/>
      <c r="B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6"/>
      <c r="B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6"/>
      <c r="B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6"/>
      <c r="B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6"/>
      <c r="B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97" t="s">
        <v>379</v>
      </c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  <c r="AA160" s="98"/>
      <c r="AB160" s="98"/>
      <c r="AC160" s="98"/>
      <c r="AD160" s="98"/>
      <c r="AE160" s="98"/>
      <c r="AF160" s="98"/>
      <c r="AG160" s="98"/>
    </row>
    <row r="161">
      <c r="A161" s="99" t="s">
        <v>149</v>
      </c>
      <c r="B161" s="100" t="s">
        <v>150</v>
      </c>
      <c r="C161" s="99" t="s">
        <v>282</v>
      </c>
      <c r="D161" s="98"/>
      <c r="E161" s="99" t="s">
        <v>380</v>
      </c>
      <c r="F161" s="98"/>
      <c r="G161" s="98"/>
      <c r="H161" s="98" t="s">
        <v>381</v>
      </c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  <c r="AA161" s="98"/>
      <c r="AB161" s="98"/>
      <c r="AC161" s="98"/>
      <c r="AD161" s="98"/>
      <c r="AE161" s="98"/>
      <c r="AF161" s="98"/>
      <c r="AG161" s="98"/>
    </row>
    <row r="162">
      <c r="A162" s="33" t="s">
        <v>382</v>
      </c>
      <c r="B162" s="34" t="s">
        <v>383</v>
      </c>
      <c r="C162" s="36"/>
      <c r="D162" s="36"/>
      <c r="E162" s="77" t="str">
        <f t="array" ref="E162:H165">PERIODIC_TABLE()</f>
        <v>H</v>
      </c>
      <c r="F162" s="65" t="s">
        <v>289</v>
      </c>
      <c r="G162" s="65" t="s">
        <v>289</v>
      </c>
      <c r="H162" s="60" t="s">
        <v>289</v>
      </c>
      <c r="I162" s="36" t="s">
        <v>384</v>
      </c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6"/>
      <c r="B163" s="36"/>
      <c r="C163" s="36"/>
      <c r="D163" s="36"/>
      <c r="E163" s="61" t="s">
        <v>385</v>
      </c>
      <c r="F163" s="36" t="s">
        <v>386</v>
      </c>
      <c r="G163" s="36" t="s">
        <v>289</v>
      </c>
      <c r="H163" s="66" t="s">
        <v>289</v>
      </c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6"/>
      <c r="B164" s="36"/>
      <c r="C164" s="36"/>
      <c r="D164" s="36"/>
      <c r="E164" s="61" t="s">
        <v>387</v>
      </c>
      <c r="F164" s="36" t="s">
        <v>388</v>
      </c>
      <c r="G164" s="36" t="s">
        <v>289</v>
      </c>
      <c r="H164" s="66" t="s">
        <v>289</v>
      </c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6"/>
      <c r="B165" s="36"/>
      <c r="C165" s="36"/>
      <c r="D165" s="36"/>
      <c r="E165" s="63" t="s">
        <v>389</v>
      </c>
      <c r="F165" s="90" t="s">
        <v>390</v>
      </c>
      <c r="G165" s="90" t="s">
        <v>391</v>
      </c>
      <c r="H165" s="64" t="s">
        <v>392</v>
      </c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3" t="s">
        <v>393</v>
      </c>
      <c r="B166" s="36"/>
      <c r="C166" s="36"/>
      <c r="D166" s="36"/>
      <c r="E166" s="59">
        <f t="array" ref="E166:H169">ELEMENT_LIST()</f>
        <v>1</v>
      </c>
      <c r="F166" s="65" t="s">
        <v>394</v>
      </c>
      <c r="G166" s="65" t="s">
        <v>395</v>
      </c>
      <c r="H166" s="78">
        <v>1.008</v>
      </c>
      <c r="I166" s="36" t="s">
        <v>396</v>
      </c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6"/>
      <c r="B167" s="36"/>
      <c r="C167" s="36"/>
      <c r="D167" s="36"/>
      <c r="E167" s="101">
        <v>2.0</v>
      </c>
      <c r="F167" s="36" t="s">
        <v>397</v>
      </c>
      <c r="G167" s="36" t="s">
        <v>398</v>
      </c>
      <c r="H167" s="62">
        <v>4.0026</v>
      </c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6"/>
      <c r="B168" s="36"/>
      <c r="C168" s="36"/>
      <c r="D168" s="36"/>
      <c r="E168" s="101">
        <v>3.0</v>
      </c>
      <c r="F168" s="36" t="s">
        <v>385</v>
      </c>
      <c r="G168" s="36" t="s">
        <v>399</v>
      </c>
      <c r="H168" s="62">
        <v>6.94</v>
      </c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6"/>
      <c r="B169" s="36"/>
      <c r="C169" s="36"/>
      <c r="D169" s="36"/>
      <c r="E169" s="79">
        <v>4.0</v>
      </c>
      <c r="F169" s="90" t="s">
        <v>386</v>
      </c>
      <c r="G169" s="90" t="s">
        <v>400</v>
      </c>
      <c r="H169" s="102">
        <v>9.0122</v>
      </c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3" t="s">
        <v>401</v>
      </c>
      <c r="B170" s="34" t="s">
        <v>402</v>
      </c>
      <c r="C170" s="36"/>
      <c r="D170" s="36"/>
      <c r="E170" s="74" t="str">
        <f t="array" ref="E170:E173">NATO_ALPHABET()</f>
        <v>Alfa</v>
      </c>
      <c r="F170" s="77" t="str">
        <f t="array" ref="F170:G173">GASHLYCRUMB_ALPHABET()</f>
        <v>Amy</v>
      </c>
      <c r="G170" s="60" t="s">
        <v>403</v>
      </c>
      <c r="H170" s="74" t="str">
        <f t="array" ref="H170:H173">KINSEY_MILLHONE_ALPHABET()</f>
        <v>Alibi</v>
      </c>
      <c r="I170" s="74" t="str">
        <f t="array" ref="I170:I173">GREEK_ALPHABET()</f>
        <v>alpha</v>
      </c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3" t="s">
        <v>404</v>
      </c>
      <c r="B171" s="34" t="s">
        <v>405</v>
      </c>
      <c r="C171" s="36"/>
      <c r="D171" s="36"/>
      <c r="E171" s="72" t="s">
        <v>406</v>
      </c>
      <c r="F171" s="61" t="s">
        <v>407</v>
      </c>
      <c r="G171" s="66" t="s">
        <v>408</v>
      </c>
      <c r="H171" s="72" t="s">
        <v>409</v>
      </c>
      <c r="I171" s="72" t="s">
        <v>410</v>
      </c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3" t="s">
        <v>411</v>
      </c>
      <c r="B172" s="34" t="s">
        <v>412</v>
      </c>
      <c r="C172" s="36"/>
      <c r="D172" s="36"/>
      <c r="E172" s="72" t="s">
        <v>413</v>
      </c>
      <c r="F172" s="61" t="s">
        <v>414</v>
      </c>
      <c r="G172" s="66" t="s">
        <v>415</v>
      </c>
      <c r="H172" s="72" t="s">
        <v>416</v>
      </c>
      <c r="I172" s="72" t="s">
        <v>417</v>
      </c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3" t="s">
        <v>418</v>
      </c>
      <c r="B173" s="34" t="s">
        <v>419</v>
      </c>
      <c r="C173" s="36"/>
      <c r="D173" s="36"/>
      <c r="E173" s="73" t="s">
        <v>420</v>
      </c>
      <c r="F173" s="63" t="s">
        <v>421</v>
      </c>
      <c r="G173" s="64" t="s">
        <v>422</v>
      </c>
      <c r="H173" s="73" t="s">
        <v>423</v>
      </c>
      <c r="I173" s="73" t="s">
        <v>424</v>
      </c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97" t="s">
        <v>425</v>
      </c>
      <c r="B174" s="98"/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  <c r="AA174" s="98"/>
      <c r="AB174" s="98"/>
      <c r="AC174" s="98"/>
      <c r="AD174" s="98"/>
      <c r="AE174" s="98"/>
      <c r="AF174" s="98"/>
      <c r="AG174" s="98"/>
    </row>
    <row r="175">
      <c r="A175" s="99" t="s">
        <v>149</v>
      </c>
      <c r="B175" s="100" t="s">
        <v>150</v>
      </c>
      <c r="C175" s="99" t="s">
        <v>282</v>
      </c>
      <c r="D175" s="98"/>
      <c r="E175" s="99" t="s">
        <v>426</v>
      </c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  <c r="AA175" s="98"/>
      <c r="AB175" s="98"/>
      <c r="AC175" s="98"/>
      <c r="AD175" s="98"/>
      <c r="AE175" s="98"/>
      <c r="AF175" s="98"/>
      <c r="AG175" s="98"/>
    </row>
    <row r="176">
      <c r="A176" s="33" t="s">
        <v>427</v>
      </c>
      <c r="B176" s="34" t="s">
        <v>428</v>
      </c>
      <c r="C176" s="42">
        <v>3.0</v>
      </c>
      <c r="D176" s="36" t="s">
        <v>429</v>
      </c>
      <c r="E176" s="36" t="str">
        <f>REGEX_NTH_LETTER(C176,D176)</f>
        <v>.{2}[rR].*</v>
      </c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103" t="s">
        <v>430</v>
      </c>
      <c r="B177" s="104"/>
      <c r="C177" s="104"/>
      <c r="D177" s="104"/>
      <c r="E177" s="104"/>
      <c r="F177" s="104"/>
      <c r="G177" s="104"/>
      <c r="H177" s="104"/>
      <c r="I177" s="104"/>
      <c r="J177" s="104"/>
      <c r="K177" s="104"/>
      <c r="L177" s="104"/>
      <c r="M177" s="104"/>
      <c r="N177" s="104"/>
      <c r="O177" s="104"/>
      <c r="P177" s="104"/>
      <c r="Q177" s="104"/>
      <c r="R177" s="104"/>
      <c r="S177" s="104"/>
      <c r="T177" s="104"/>
      <c r="U177" s="104"/>
      <c r="V177" s="104"/>
      <c r="W177" s="104"/>
      <c r="X177" s="104"/>
      <c r="Y177" s="104"/>
      <c r="Z177" s="104"/>
      <c r="AA177" s="104"/>
      <c r="AB177" s="104"/>
      <c r="AC177" s="104"/>
      <c r="AD177" s="104"/>
      <c r="AE177" s="104"/>
      <c r="AF177" s="104"/>
      <c r="AG177" s="104"/>
    </row>
    <row r="178">
      <c r="A178" s="105" t="s">
        <v>149</v>
      </c>
      <c r="B178" s="105" t="s">
        <v>150</v>
      </c>
      <c r="C178" s="105" t="s">
        <v>282</v>
      </c>
      <c r="D178" s="105"/>
      <c r="E178" s="105"/>
      <c r="F178" s="106" t="s">
        <v>380</v>
      </c>
      <c r="G178" s="104"/>
      <c r="H178" s="104"/>
      <c r="I178" s="104"/>
      <c r="J178" s="104"/>
      <c r="K178" s="104"/>
      <c r="L178" s="104"/>
      <c r="M178" s="104"/>
      <c r="N178" s="104"/>
      <c r="O178" s="104"/>
      <c r="P178" s="104"/>
      <c r="Q178" s="104"/>
      <c r="R178" s="104"/>
      <c r="S178" s="104"/>
      <c r="T178" s="104"/>
      <c r="U178" s="104"/>
      <c r="V178" s="104"/>
      <c r="W178" s="104"/>
      <c r="X178" s="104"/>
      <c r="Y178" s="104"/>
      <c r="Z178" s="104"/>
      <c r="AA178" s="104"/>
      <c r="AB178" s="104"/>
      <c r="AC178" s="104"/>
      <c r="AD178" s="104"/>
      <c r="AE178" s="104"/>
      <c r="AF178" s="104"/>
      <c r="AG178" s="104"/>
    </row>
    <row r="179">
      <c r="A179" s="37" t="s">
        <v>431</v>
      </c>
      <c r="B179" s="38" t="s">
        <v>432</v>
      </c>
      <c r="C179" s="107" t="s">
        <v>433</v>
      </c>
      <c r="F179" s="36" t="str">
        <f>IFERROR(__xludf.DUMMYFUNCTION("COLORHEX(C179)"),"")</f>
        <v/>
      </c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7" t="s">
        <v>434</v>
      </c>
      <c r="B180" s="38" t="s">
        <v>435</v>
      </c>
      <c r="C180" s="107">
        <v>50.0</v>
      </c>
      <c r="D180" s="5">
        <v>100.0</v>
      </c>
      <c r="E180" s="5">
        <v>200.0</v>
      </c>
      <c r="F180" s="36" t="str">
        <f>IFERROR(__xludf.DUMMYFUNCTION("COLORRGB(C180,D180,E180)"),"")</f>
        <v/>
      </c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105" t="s">
        <v>436</v>
      </c>
      <c r="B181" s="104"/>
      <c r="C181" s="108" t="s">
        <v>437</v>
      </c>
      <c r="D181" s="104"/>
      <c r="E181" s="104"/>
      <c r="F181" s="104"/>
      <c r="G181" s="104"/>
      <c r="H181" s="104"/>
      <c r="I181" s="104"/>
      <c r="J181" s="104"/>
      <c r="K181" s="104"/>
      <c r="L181" s="104"/>
      <c r="M181" s="104"/>
      <c r="N181" s="104"/>
      <c r="O181" s="104"/>
      <c r="P181" s="104"/>
      <c r="Q181" s="104"/>
      <c r="R181" s="104"/>
      <c r="S181" s="104"/>
      <c r="T181" s="104"/>
      <c r="U181" s="104"/>
      <c r="V181" s="104"/>
      <c r="W181" s="104"/>
      <c r="X181" s="104"/>
      <c r="Y181" s="104"/>
      <c r="Z181" s="104"/>
      <c r="AA181" s="104"/>
      <c r="AB181" s="104"/>
      <c r="AC181" s="104"/>
      <c r="AD181" s="104"/>
      <c r="AE181" s="104"/>
      <c r="AF181" s="104"/>
      <c r="AG181" s="104"/>
    </row>
    <row r="182">
      <c r="A182" s="109" t="s">
        <v>438</v>
      </c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109" t="s">
        <v>439</v>
      </c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109" t="s">
        <v>440</v>
      </c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109" t="s">
        <v>441</v>
      </c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109" t="s">
        <v>442</v>
      </c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109" t="s">
        <v>443</v>
      </c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110" t="s">
        <v>444</v>
      </c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109" t="s">
        <v>445</v>
      </c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109" t="s">
        <v>446</v>
      </c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109" t="s">
        <v>447</v>
      </c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109" t="s">
        <v>448</v>
      </c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109" t="s">
        <v>449</v>
      </c>
      <c r="B193" s="36"/>
      <c r="C193" s="36"/>
      <c r="D193" s="36"/>
      <c r="E193" s="36"/>
      <c r="F193" s="7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109" t="s">
        <v>450</v>
      </c>
      <c r="B194" s="36"/>
      <c r="C194" s="36"/>
      <c r="D194" s="36"/>
      <c r="E194" s="36"/>
      <c r="F194" s="7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109" t="s">
        <v>451</v>
      </c>
      <c r="B195" s="36"/>
      <c r="C195" s="36"/>
      <c r="D195" s="36"/>
      <c r="E195" s="36"/>
      <c r="F195" s="7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111" t="s">
        <v>452</v>
      </c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109" t="s">
        <v>453</v>
      </c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109" t="s">
        <v>454</v>
      </c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109" t="s">
        <v>455</v>
      </c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111" t="s">
        <v>456</v>
      </c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109" t="s">
        <v>457</v>
      </c>
      <c r="B203" s="34" t="s">
        <v>458</v>
      </c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109" t="s">
        <v>459</v>
      </c>
      <c r="B204" s="34" t="s">
        <v>460</v>
      </c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109" t="s">
        <v>461</v>
      </c>
      <c r="B205" s="34" t="s">
        <v>462</v>
      </c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109" t="s">
        <v>463</v>
      </c>
      <c r="B206" s="34" t="s">
        <v>464</v>
      </c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6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6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6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6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6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6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6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6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6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6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6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6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6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6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6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6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6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6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6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6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6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6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  <row r="1001">
      <c r="A1001" s="36"/>
      <c r="B1001" s="36"/>
      <c r="C1001" s="3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  <c r="S1001" s="36"/>
      <c r="T1001" s="36"/>
      <c r="U1001" s="36"/>
      <c r="V1001" s="36"/>
      <c r="W1001" s="36"/>
      <c r="X1001" s="36"/>
      <c r="Y1001" s="36"/>
      <c r="Z1001" s="36"/>
      <c r="AA1001" s="36"/>
      <c r="AB1001" s="36"/>
      <c r="AC1001" s="36"/>
      <c r="AD1001" s="36"/>
      <c r="AE1001" s="36"/>
      <c r="AF1001" s="36"/>
      <c r="AG1001" s="36"/>
    </row>
    <row r="1002">
      <c r="A1002" s="36"/>
      <c r="B1002" s="36"/>
      <c r="C1002" s="36"/>
      <c r="D1002" s="36"/>
      <c r="E1002" s="36"/>
      <c r="F1002" s="36"/>
      <c r="G1002" s="36"/>
      <c r="H1002" s="36"/>
      <c r="I1002" s="36"/>
      <c r="J1002" s="36"/>
      <c r="K1002" s="36"/>
      <c r="L1002" s="36"/>
      <c r="M1002" s="36"/>
      <c r="N1002" s="36"/>
      <c r="O1002" s="36"/>
      <c r="P1002" s="36"/>
      <c r="Q1002" s="36"/>
      <c r="R1002" s="36"/>
      <c r="S1002" s="36"/>
      <c r="T1002" s="36"/>
      <c r="U1002" s="36"/>
      <c r="V1002" s="36"/>
      <c r="W1002" s="36"/>
      <c r="X1002" s="36"/>
      <c r="Y1002" s="36"/>
      <c r="Z1002" s="36"/>
      <c r="AA1002" s="36"/>
      <c r="AB1002" s="36"/>
      <c r="AC1002" s="36"/>
      <c r="AD1002" s="36"/>
      <c r="AE1002" s="36"/>
      <c r="AF1002" s="36"/>
      <c r="AG1002" s="36"/>
    </row>
    <row r="1003">
      <c r="A1003" s="36"/>
      <c r="B1003" s="36"/>
      <c r="C1003" s="36"/>
      <c r="D1003" s="36"/>
      <c r="E1003" s="36"/>
      <c r="F1003" s="36"/>
      <c r="G1003" s="36"/>
      <c r="H1003" s="36"/>
      <c r="I1003" s="36"/>
      <c r="J1003" s="36"/>
      <c r="K1003" s="36"/>
      <c r="L1003" s="36"/>
      <c r="M1003" s="36"/>
      <c r="N1003" s="36"/>
      <c r="O1003" s="36"/>
      <c r="P1003" s="36"/>
      <c r="Q1003" s="36"/>
      <c r="R1003" s="36"/>
      <c r="S1003" s="36"/>
      <c r="T1003" s="36"/>
      <c r="U1003" s="36"/>
      <c r="V1003" s="36"/>
      <c r="W1003" s="36"/>
      <c r="X1003" s="36"/>
      <c r="Y1003" s="36"/>
      <c r="Z1003" s="36"/>
      <c r="AA1003" s="36"/>
      <c r="AB1003" s="36"/>
      <c r="AC1003" s="36"/>
      <c r="AD1003" s="36"/>
      <c r="AE1003" s="36"/>
      <c r="AF1003" s="36"/>
      <c r="AG1003" s="36"/>
    </row>
    <row r="1004">
      <c r="A1004" s="36"/>
      <c r="B1004" s="36"/>
      <c r="C1004" s="36"/>
      <c r="D1004" s="36"/>
      <c r="E1004" s="36"/>
      <c r="F1004" s="36"/>
      <c r="G1004" s="36"/>
      <c r="H1004" s="36"/>
      <c r="I1004" s="36"/>
      <c r="J1004" s="36"/>
      <c r="K1004" s="36"/>
      <c r="L1004" s="36"/>
      <c r="M1004" s="36"/>
      <c r="N1004" s="36"/>
      <c r="O1004" s="36"/>
      <c r="P1004" s="36"/>
      <c r="Q1004" s="36"/>
      <c r="R1004" s="36"/>
      <c r="S1004" s="36"/>
      <c r="T1004" s="36"/>
      <c r="U1004" s="36"/>
      <c r="V1004" s="36"/>
      <c r="W1004" s="36"/>
      <c r="X1004" s="36"/>
      <c r="Y1004" s="36"/>
      <c r="Z1004" s="36"/>
      <c r="AA1004" s="36"/>
      <c r="AB1004" s="36"/>
      <c r="AC1004" s="36"/>
      <c r="AD1004" s="36"/>
      <c r="AE1004" s="36"/>
      <c r="AF1004" s="36"/>
      <c r="AG1004" s="36"/>
    </row>
    <row r="1005">
      <c r="A1005" s="36"/>
      <c r="B1005" s="36"/>
      <c r="C1005" s="3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  <c r="S1005" s="36"/>
      <c r="T1005" s="36"/>
      <c r="U1005" s="36"/>
      <c r="V1005" s="36"/>
      <c r="W1005" s="36"/>
      <c r="X1005" s="36"/>
      <c r="Y1005" s="36"/>
      <c r="Z1005" s="36"/>
      <c r="AA1005" s="36"/>
      <c r="AB1005" s="36"/>
      <c r="AC1005" s="36"/>
      <c r="AD1005" s="36"/>
      <c r="AE1005" s="36"/>
      <c r="AF1005" s="36"/>
      <c r="AG1005" s="36"/>
    </row>
    <row r="1006">
      <c r="A1006" s="36"/>
      <c r="B1006" s="36"/>
      <c r="C1006" s="36"/>
      <c r="D1006" s="36"/>
      <c r="E1006" s="36"/>
      <c r="F1006" s="36"/>
      <c r="G1006" s="36"/>
      <c r="H1006" s="36"/>
      <c r="I1006" s="36"/>
      <c r="J1006" s="36"/>
      <c r="K1006" s="36"/>
      <c r="L1006" s="36"/>
      <c r="M1006" s="36"/>
      <c r="N1006" s="36"/>
      <c r="O1006" s="36"/>
      <c r="P1006" s="36"/>
      <c r="Q1006" s="36"/>
      <c r="R1006" s="36"/>
      <c r="S1006" s="36"/>
      <c r="T1006" s="36"/>
      <c r="U1006" s="36"/>
      <c r="V1006" s="36"/>
      <c r="W1006" s="36"/>
      <c r="X1006" s="36"/>
      <c r="Y1006" s="36"/>
      <c r="Z1006" s="36"/>
      <c r="AA1006" s="36"/>
      <c r="AB1006" s="36"/>
      <c r="AC1006" s="36"/>
      <c r="AD1006" s="36"/>
      <c r="AE1006" s="36"/>
      <c r="AF1006" s="36"/>
      <c r="AG1006" s="36"/>
    </row>
    <row r="1007">
      <c r="A1007" s="36"/>
      <c r="B1007" s="36"/>
      <c r="C1007" s="36"/>
      <c r="D1007" s="36"/>
      <c r="E1007" s="36"/>
      <c r="F1007" s="36"/>
      <c r="G1007" s="36"/>
      <c r="H1007" s="36"/>
      <c r="I1007" s="36"/>
      <c r="J1007" s="36"/>
      <c r="K1007" s="36"/>
      <c r="L1007" s="36"/>
      <c r="M1007" s="36"/>
      <c r="N1007" s="36"/>
      <c r="O1007" s="36"/>
      <c r="P1007" s="36"/>
      <c r="Q1007" s="36"/>
      <c r="R1007" s="36"/>
      <c r="S1007" s="36"/>
      <c r="T1007" s="36"/>
      <c r="U1007" s="36"/>
      <c r="V1007" s="36"/>
      <c r="W1007" s="36"/>
      <c r="X1007" s="36"/>
      <c r="Y1007" s="36"/>
      <c r="Z1007" s="36"/>
      <c r="AA1007" s="36"/>
      <c r="AB1007" s="36"/>
      <c r="AC1007" s="36"/>
      <c r="AD1007" s="36"/>
      <c r="AE1007" s="36"/>
      <c r="AF1007" s="36"/>
      <c r="AG1007" s="36"/>
    </row>
    <row r="1008">
      <c r="A1008" s="36"/>
      <c r="B1008" s="36"/>
      <c r="C1008" s="36"/>
      <c r="D1008" s="36"/>
      <c r="E1008" s="36"/>
      <c r="F1008" s="36"/>
      <c r="G1008" s="36"/>
      <c r="H1008" s="36"/>
      <c r="I1008" s="36"/>
      <c r="J1008" s="36"/>
      <c r="K1008" s="36"/>
      <c r="L1008" s="36"/>
      <c r="M1008" s="36"/>
      <c r="N1008" s="36"/>
      <c r="O1008" s="36"/>
      <c r="P1008" s="36"/>
      <c r="Q1008" s="36"/>
      <c r="R1008" s="36"/>
      <c r="S1008" s="36"/>
      <c r="T1008" s="36"/>
      <c r="U1008" s="36"/>
      <c r="V1008" s="36"/>
      <c r="W1008" s="36"/>
      <c r="X1008" s="36"/>
      <c r="Y1008" s="36"/>
      <c r="Z1008" s="36"/>
      <c r="AA1008" s="36"/>
      <c r="AB1008" s="36"/>
      <c r="AC1008" s="36"/>
      <c r="AD1008" s="36"/>
      <c r="AE1008" s="36"/>
      <c r="AF1008" s="36"/>
      <c r="AG1008" s="36"/>
    </row>
    <row r="1009">
      <c r="A1009" s="36"/>
      <c r="B1009" s="36"/>
      <c r="C1009" s="3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  <c r="S1009" s="36"/>
      <c r="T1009" s="36"/>
      <c r="U1009" s="36"/>
      <c r="V1009" s="36"/>
      <c r="W1009" s="36"/>
      <c r="X1009" s="36"/>
      <c r="Y1009" s="36"/>
      <c r="Z1009" s="36"/>
      <c r="AA1009" s="36"/>
      <c r="AB1009" s="36"/>
      <c r="AC1009" s="36"/>
      <c r="AD1009" s="36"/>
      <c r="AE1009" s="36"/>
      <c r="AF1009" s="36"/>
      <c r="AG1009" s="36"/>
    </row>
    <row r="1010">
      <c r="A1010" s="36"/>
      <c r="B1010" s="36"/>
      <c r="C1010" s="36"/>
      <c r="D1010" s="36"/>
      <c r="E1010" s="36"/>
      <c r="F1010" s="36"/>
      <c r="G1010" s="36"/>
      <c r="H1010" s="36"/>
      <c r="I1010" s="36"/>
      <c r="J1010" s="36"/>
      <c r="K1010" s="36"/>
      <c r="L1010" s="36"/>
      <c r="M1010" s="36"/>
      <c r="N1010" s="36"/>
      <c r="O1010" s="36"/>
      <c r="P1010" s="36"/>
      <c r="Q1010" s="36"/>
      <c r="R1010" s="36"/>
      <c r="S1010" s="36"/>
      <c r="T1010" s="36"/>
      <c r="U1010" s="36"/>
      <c r="V1010" s="36"/>
      <c r="W1010" s="36"/>
      <c r="X1010" s="36"/>
      <c r="Y1010" s="36"/>
      <c r="Z1010" s="36"/>
      <c r="AA1010" s="36"/>
      <c r="AB1010" s="36"/>
      <c r="AC1010" s="36"/>
      <c r="AD1010" s="36"/>
      <c r="AE1010" s="36"/>
      <c r="AF1010" s="36"/>
      <c r="AG1010" s="36"/>
    </row>
    <row r="1011">
      <c r="A1011" s="36"/>
      <c r="B1011" s="36"/>
      <c r="C1011" s="36"/>
      <c r="D1011" s="36"/>
      <c r="E1011" s="36"/>
      <c r="F1011" s="36"/>
      <c r="G1011" s="36"/>
      <c r="H1011" s="36"/>
      <c r="I1011" s="36"/>
      <c r="J1011" s="36"/>
      <c r="K1011" s="36"/>
      <c r="L1011" s="36"/>
      <c r="M1011" s="36"/>
      <c r="N1011" s="36"/>
      <c r="O1011" s="36"/>
      <c r="P1011" s="36"/>
      <c r="Q1011" s="36"/>
      <c r="R1011" s="36"/>
      <c r="S1011" s="36"/>
      <c r="T1011" s="36"/>
      <c r="U1011" s="36"/>
      <c r="V1011" s="36"/>
      <c r="W1011" s="36"/>
      <c r="X1011" s="36"/>
      <c r="Y1011" s="36"/>
      <c r="Z1011" s="36"/>
      <c r="AA1011" s="36"/>
      <c r="AB1011" s="36"/>
      <c r="AC1011" s="36"/>
      <c r="AD1011" s="36"/>
      <c r="AE1011" s="36"/>
      <c r="AF1011" s="36"/>
      <c r="AG1011" s="36"/>
    </row>
    <row r="1012">
      <c r="A1012" s="36"/>
      <c r="B1012" s="36"/>
      <c r="C1012" s="36"/>
      <c r="D1012" s="36"/>
      <c r="E1012" s="36"/>
      <c r="F1012" s="36"/>
      <c r="G1012" s="36"/>
      <c r="H1012" s="36"/>
      <c r="I1012" s="36"/>
      <c r="J1012" s="36"/>
      <c r="K1012" s="36"/>
      <c r="L1012" s="36"/>
      <c r="M1012" s="36"/>
      <c r="N1012" s="36"/>
      <c r="O1012" s="36"/>
      <c r="P1012" s="36"/>
      <c r="Q1012" s="36"/>
      <c r="R1012" s="36"/>
      <c r="S1012" s="36"/>
      <c r="T1012" s="36"/>
      <c r="U1012" s="36"/>
      <c r="V1012" s="36"/>
      <c r="W1012" s="36"/>
      <c r="X1012" s="36"/>
      <c r="Y1012" s="36"/>
      <c r="Z1012" s="36"/>
      <c r="AA1012" s="36"/>
      <c r="AB1012" s="36"/>
      <c r="AC1012" s="36"/>
      <c r="AD1012" s="36"/>
      <c r="AE1012" s="36"/>
      <c r="AF1012" s="36"/>
      <c r="AG1012" s="36"/>
    </row>
    <row r="1013">
      <c r="A1013" s="36"/>
      <c r="B1013" s="36"/>
      <c r="C1013" s="3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  <c r="S1013" s="36"/>
      <c r="T1013" s="36"/>
      <c r="U1013" s="36"/>
      <c r="V1013" s="36"/>
      <c r="W1013" s="36"/>
      <c r="X1013" s="36"/>
      <c r="Y1013" s="36"/>
      <c r="Z1013" s="36"/>
      <c r="AA1013" s="36"/>
      <c r="AB1013" s="36"/>
      <c r="AC1013" s="36"/>
      <c r="AD1013" s="36"/>
      <c r="AE1013" s="36"/>
      <c r="AF1013" s="36"/>
      <c r="AG1013" s="36"/>
    </row>
    <row r="1014">
      <c r="A1014" s="36"/>
      <c r="B1014" s="36"/>
      <c r="C1014" s="36"/>
      <c r="D1014" s="36"/>
      <c r="E1014" s="36"/>
      <c r="F1014" s="36"/>
      <c r="G1014" s="36"/>
      <c r="H1014" s="36"/>
      <c r="I1014" s="36"/>
      <c r="J1014" s="36"/>
      <c r="K1014" s="36"/>
      <c r="L1014" s="36"/>
      <c r="M1014" s="36"/>
      <c r="N1014" s="36"/>
      <c r="O1014" s="36"/>
      <c r="P1014" s="36"/>
      <c r="Q1014" s="36"/>
      <c r="R1014" s="36"/>
      <c r="S1014" s="36"/>
      <c r="T1014" s="36"/>
      <c r="U1014" s="36"/>
      <c r="V1014" s="36"/>
      <c r="W1014" s="36"/>
      <c r="X1014" s="36"/>
      <c r="Y1014" s="36"/>
      <c r="Z1014" s="36"/>
      <c r="AA1014" s="36"/>
      <c r="AB1014" s="36"/>
      <c r="AC1014" s="36"/>
      <c r="AD1014" s="36"/>
      <c r="AE1014" s="36"/>
      <c r="AF1014" s="36"/>
      <c r="AG1014" s="36"/>
    </row>
    <row r="1015">
      <c r="A1015" s="36"/>
      <c r="B1015" s="36"/>
      <c r="C1015" s="36"/>
      <c r="D1015" s="36"/>
      <c r="E1015" s="36"/>
      <c r="F1015" s="36"/>
      <c r="G1015" s="36"/>
      <c r="H1015" s="36"/>
      <c r="I1015" s="36"/>
      <c r="J1015" s="36"/>
      <c r="K1015" s="36"/>
      <c r="L1015" s="36"/>
      <c r="M1015" s="36"/>
      <c r="N1015" s="36"/>
      <c r="O1015" s="36"/>
      <c r="P1015" s="36"/>
      <c r="Q1015" s="36"/>
      <c r="R1015" s="36"/>
      <c r="S1015" s="36"/>
      <c r="T1015" s="36"/>
      <c r="U1015" s="36"/>
      <c r="V1015" s="36"/>
      <c r="W1015" s="36"/>
      <c r="X1015" s="36"/>
      <c r="Y1015" s="36"/>
      <c r="Z1015" s="36"/>
      <c r="AA1015" s="36"/>
      <c r="AB1015" s="36"/>
      <c r="AC1015" s="36"/>
      <c r="AD1015" s="36"/>
      <c r="AE1015" s="36"/>
      <c r="AF1015" s="36"/>
      <c r="AG1015" s="36"/>
    </row>
    <row r="1016">
      <c r="A1016" s="36"/>
      <c r="B1016" s="36"/>
      <c r="C1016" s="36"/>
      <c r="D1016" s="36"/>
      <c r="E1016" s="36"/>
      <c r="F1016" s="36"/>
      <c r="G1016" s="36"/>
      <c r="H1016" s="36"/>
      <c r="I1016" s="36"/>
      <c r="J1016" s="36"/>
      <c r="K1016" s="36"/>
      <c r="L1016" s="36"/>
      <c r="M1016" s="36"/>
      <c r="N1016" s="36"/>
      <c r="O1016" s="36"/>
      <c r="P1016" s="36"/>
      <c r="Q1016" s="36"/>
      <c r="R1016" s="36"/>
      <c r="S1016" s="36"/>
      <c r="T1016" s="36"/>
      <c r="U1016" s="36"/>
      <c r="V1016" s="36"/>
      <c r="W1016" s="36"/>
      <c r="X1016" s="36"/>
      <c r="Y1016" s="36"/>
      <c r="Z1016" s="36"/>
      <c r="AA1016" s="36"/>
      <c r="AB1016" s="36"/>
      <c r="AC1016" s="36"/>
      <c r="AD1016" s="36"/>
      <c r="AE1016" s="36"/>
      <c r="AF1016" s="36"/>
      <c r="AG1016" s="36"/>
    </row>
    <row r="1017">
      <c r="A1017" s="36"/>
      <c r="B1017" s="36"/>
      <c r="C1017" s="3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  <c r="S1017" s="36"/>
      <c r="T1017" s="36"/>
      <c r="U1017" s="36"/>
      <c r="V1017" s="36"/>
      <c r="W1017" s="36"/>
      <c r="X1017" s="36"/>
      <c r="Y1017" s="36"/>
      <c r="Z1017" s="36"/>
      <c r="AA1017" s="36"/>
      <c r="AB1017" s="36"/>
      <c r="AC1017" s="36"/>
      <c r="AD1017" s="36"/>
      <c r="AE1017" s="36"/>
      <c r="AF1017" s="36"/>
      <c r="AG1017" s="36"/>
    </row>
    <row r="1018">
      <c r="A1018" s="36"/>
      <c r="B1018" s="36"/>
      <c r="C1018" s="36"/>
      <c r="D1018" s="36"/>
      <c r="E1018" s="36"/>
      <c r="F1018" s="36"/>
      <c r="G1018" s="36"/>
      <c r="H1018" s="36"/>
      <c r="I1018" s="36"/>
      <c r="J1018" s="36"/>
      <c r="K1018" s="36"/>
      <c r="L1018" s="36"/>
      <c r="M1018" s="36"/>
      <c r="N1018" s="36"/>
      <c r="O1018" s="36"/>
      <c r="P1018" s="36"/>
      <c r="Q1018" s="36"/>
      <c r="R1018" s="36"/>
      <c r="S1018" s="36"/>
      <c r="T1018" s="36"/>
      <c r="U1018" s="36"/>
      <c r="V1018" s="36"/>
      <c r="W1018" s="36"/>
      <c r="X1018" s="36"/>
      <c r="Y1018" s="36"/>
      <c r="Z1018" s="36"/>
      <c r="AA1018" s="36"/>
      <c r="AB1018" s="36"/>
      <c r="AC1018" s="36"/>
      <c r="AD1018" s="36"/>
      <c r="AE1018" s="36"/>
      <c r="AF1018" s="36"/>
      <c r="AG1018" s="36"/>
    </row>
    <row r="1019">
      <c r="A1019" s="36"/>
      <c r="B1019" s="36"/>
      <c r="C1019" s="36"/>
      <c r="D1019" s="36"/>
      <c r="E1019" s="36"/>
      <c r="F1019" s="36"/>
      <c r="G1019" s="36"/>
      <c r="H1019" s="36"/>
      <c r="I1019" s="36"/>
      <c r="J1019" s="36"/>
      <c r="K1019" s="36"/>
      <c r="L1019" s="36"/>
      <c r="M1019" s="36"/>
      <c r="N1019" s="36"/>
      <c r="O1019" s="36"/>
      <c r="P1019" s="36"/>
      <c r="Q1019" s="36"/>
      <c r="R1019" s="36"/>
      <c r="S1019" s="36"/>
      <c r="T1019" s="36"/>
      <c r="U1019" s="36"/>
      <c r="V1019" s="36"/>
      <c r="W1019" s="36"/>
      <c r="X1019" s="36"/>
      <c r="Y1019" s="36"/>
      <c r="Z1019" s="36"/>
      <c r="AA1019" s="36"/>
      <c r="AB1019" s="36"/>
      <c r="AC1019" s="36"/>
      <c r="AD1019" s="36"/>
      <c r="AE1019" s="36"/>
      <c r="AF1019" s="36"/>
      <c r="AG1019" s="36"/>
    </row>
    <row r="1020">
      <c r="A1020" s="36"/>
      <c r="B1020" s="36"/>
      <c r="C1020" s="36"/>
      <c r="D1020" s="36"/>
      <c r="E1020" s="36"/>
      <c r="F1020" s="36"/>
      <c r="G1020" s="36"/>
      <c r="H1020" s="36"/>
      <c r="I1020" s="36"/>
      <c r="J1020" s="36"/>
      <c r="K1020" s="36"/>
      <c r="L1020" s="36"/>
      <c r="M1020" s="36"/>
      <c r="N1020" s="36"/>
      <c r="O1020" s="36"/>
      <c r="P1020" s="36"/>
      <c r="Q1020" s="36"/>
      <c r="R1020" s="36"/>
      <c r="S1020" s="36"/>
      <c r="T1020" s="36"/>
      <c r="U1020" s="36"/>
      <c r="V1020" s="36"/>
      <c r="W1020" s="36"/>
      <c r="X1020" s="36"/>
      <c r="Y1020" s="36"/>
      <c r="Z1020" s="36"/>
      <c r="AA1020" s="36"/>
      <c r="AB1020" s="36"/>
      <c r="AC1020" s="36"/>
      <c r="AD1020" s="36"/>
      <c r="AE1020" s="36"/>
      <c r="AF1020" s="36"/>
      <c r="AG1020" s="36"/>
    </row>
    <row r="1021">
      <c r="A1021" s="36"/>
      <c r="B1021" s="36"/>
      <c r="C1021" s="3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  <c r="S1021" s="36"/>
      <c r="T1021" s="36"/>
      <c r="U1021" s="36"/>
      <c r="V1021" s="36"/>
      <c r="W1021" s="36"/>
      <c r="X1021" s="36"/>
      <c r="Y1021" s="36"/>
      <c r="Z1021" s="36"/>
      <c r="AA1021" s="36"/>
      <c r="AB1021" s="36"/>
      <c r="AC1021" s="36"/>
      <c r="AD1021" s="36"/>
      <c r="AE1021" s="36"/>
      <c r="AF1021" s="36"/>
      <c r="AG1021" s="36"/>
    </row>
    <row r="1022">
      <c r="A1022" s="36"/>
      <c r="B1022" s="36"/>
      <c r="C1022" s="36"/>
      <c r="D1022" s="36"/>
      <c r="E1022" s="36"/>
      <c r="F1022" s="36"/>
      <c r="G1022" s="36"/>
      <c r="H1022" s="36"/>
      <c r="I1022" s="36"/>
      <c r="J1022" s="36"/>
      <c r="K1022" s="36"/>
      <c r="L1022" s="36"/>
      <c r="M1022" s="36"/>
      <c r="N1022" s="36"/>
      <c r="O1022" s="36"/>
      <c r="P1022" s="36"/>
      <c r="Q1022" s="36"/>
      <c r="R1022" s="36"/>
      <c r="S1022" s="36"/>
      <c r="T1022" s="36"/>
      <c r="U1022" s="36"/>
      <c r="V1022" s="36"/>
      <c r="W1022" s="36"/>
      <c r="X1022" s="36"/>
      <c r="Y1022" s="36"/>
      <c r="Z1022" s="36"/>
      <c r="AA1022" s="36"/>
      <c r="AB1022" s="36"/>
      <c r="AC1022" s="36"/>
      <c r="AD1022" s="36"/>
      <c r="AE1022" s="36"/>
      <c r="AF1022" s="36"/>
      <c r="AG1022" s="36"/>
    </row>
    <row r="1023">
      <c r="A1023" s="36"/>
      <c r="B1023" s="36"/>
      <c r="C1023" s="36"/>
      <c r="D1023" s="36"/>
      <c r="E1023" s="36"/>
      <c r="F1023" s="36"/>
      <c r="G1023" s="36"/>
      <c r="H1023" s="36"/>
      <c r="I1023" s="36"/>
      <c r="J1023" s="36"/>
      <c r="K1023" s="36"/>
      <c r="L1023" s="36"/>
      <c r="M1023" s="36"/>
      <c r="N1023" s="36"/>
      <c r="O1023" s="36"/>
      <c r="P1023" s="36"/>
      <c r="Q1023" s="36"/>
      <c r="R1023" s="36"/>
      <c r="S1023" s="36"/>
      <c r="T1023" s="36"/>
      <c r="U1023" s="36"/>
      <c r="V1023" s="36"/>
      <c r="W1023" s="36"/>
      <c r="X1023" s="36"/>
      <c r="Y1023" s="36"/>
      <c r="Z1023" s="36"/>
      <c r="AA1023" s="36"/>
      <c r="AB1023" s="36"/>
      <c r="AC1023" s="36"/>
      <c r="AD1023" s="36"/>
      <c r="AE1023" s="36"/>
      <c r="AF1023" s="36"/>
      <c r="AG1023" s="36"/>
    </row>
    <row r="1024">
      <c r="A1024" s="36"/>
      <c r="B1024" s="36"/>
      <c r="C1024" s="36"/>
      <c r="D1024" s="36"/>
      <c r="E1024" s="36"/>
      <c r="F1024" s="36"/>
      <c r="G1024" s="36"/>
      <c r="H1024" s="36"/>
      <c r="I1024" s="36"/>
      <c r="J1024" s="36"/>
      <c r="K1024" s="36"/>
      <c r="L1024" s="36"/>
      <c r="M1024" s="36"/>
      <c r="N1024" s="36"/>
      <c r="O1024" s="36"/>
      <c r="P1024" s="36"/>
      <c r="Q1024" s="36"/>
      <c r="R1024" s="36"/>
      <c r="S1024" s="36"/>
      <c r="T1024" s="36"/>
      <c r="U1024" s="36"/>
      <c r="V1024" s="36"/>
      <c r="W1024" s="36"/>
      <c r="X1024" s="36"/>
      <c r="Y1024" s="36"/>
      <c r="Z1024" s="36"/>
      <c r="AA1024" s="36"/>
      <c r="AB1024" s="36"/>
      <c r="AC1024" s="36"/>
      <c r="AD1024" s="36"/>
      <c r="AE1024" s="36"/>
      <c r="AF1024" s="36"/>
      <c r="AG1024" s="36"/>
    </row>
    <row r="1025">
      <c r="A1025" s="36"/>
      <c r="B1025" s="36"/>
      <c r="C1025" s="3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  <c r="S1025" s="36"/>
      <c r="T1025" s="36"/>
      <c r="U1025" s="36"/>
      <c r="V1025" s="36"/>
      <c r="W1025" s="36"/>
      <c r="X1025" s="36"/>
      <c r="Y1025" s="36"/>
      <c r="Z1025" s="36"/>
      <c r="AA1025" s="36"/>
      <c r="AB1025" s="36"/>
      <c r="AC1025" s="36"/>
      <c r="AD1025" s="36"/>
      <c r="AE1025" s="36"/>
      <c r="AF1025" s="36"/>
      <c r="AG1025" s="36"/>
    </row>
    <row r="1026">
      <c r="A1026" s="36"/>
      <c r="B1026" s="36"/>
      <c r="C1026" s="36"/>
      <c r="D1026" s="36"/>
      <c r="E1026" s="36"/>
      <c r="F1026" s="36"/>
      <c r="G1026" s="36"/>
      <c r="H1026" s="36"/>
      <c r="I1026" s="36"/>
      <c r="J1026" s="36"/>
      <c r="K1026" s="36"/>
      <c r="L1026" s="36"/>
      <c r="M1026" s="36"/>
      <c r="N1026" s="36"/>
      <c r="O1026" s="36"/>
      <c r="P1026" s="36"/>
      <c r="Q1026" s="36"/>
      <c r="R1026" s="36"/>
      <c r="S1026" s="36"/>
      <c r="T1026" s="36"/>
      <c r="U1026" s="36"/>
      <c r="V1026" s="36"/>
      <c r="W1026" s="36"/>
      <c r="X1026" s="36"/>
      <c r="Y1026" s="36"/>
      <c r="Z1026" s="36"/>
      <c r="AA1026" s="36"/>
      <c r="AB1026" s="36"/>
      <c r="AC1026" s="36"/>
      <c r="AD1026" s="36"/>
      <c r="AE1026" s="36"/>
      <c r="AF1026" s="36"/>
      <c r="AG1026" s="36"/>
    </row>
    <row r="1027">
      <c r="A1027" s="36"/>
      <c r="B1027" s="36"/>
      <c r="C1027" s="36"/>
      <c r="D1027" s="36"/>
      <c r="E1027" s="36"/>
      <c r="F1027" s="36"/>
      <c r="G1027" s="36"/>
      <c r="H1027" s="36"/>
      <c r="I1027" s="36"/>
      <c r="J1027" s="36"/>
      <c r="K1027" s="36"/>
      <c r="L1027" s="36"/>
      <c r="M1027" s="36"/>
      <c r="N1027" s="36"/>
      <c r="O1027" s="36"/>
      <c r="P1027" s="36"/>
      <c r="Q1027" s="36"/>
      <c r="R1027" s="36"/>
      <c r="S1027" s="36"/>
      <c r="T1027" s="36"/>
      <c r="U1027" s="36"/>
      <c r="V1027" s="36"/>
      <c r="W1027" s="36"/>
      <c r="X1027" s="36"/>
      <c r="Y1027" s="36"/>
      <c r="Z1027" s="36"/>
      <c r="AA1027" s="36"/>
      <c r="AB1027" s="36"/>
      <c r="AC1027" s="36"/>
      <c r="AD1027" s="36"/>
      <c r="AE1027" s="36"/>
      <c r="AF1027" s="36"/>
      <c r="AG1027" s="36"/>
    </row>
    <row r="1028">
      <c r="A1028" s="36"/>
      <c r="B1028" s="36"/>
      <c r="C1028" s="36"/>
      <c r="D1028" s="36"/>
      <c r="E1028" s="36"/>
      <c r="F1028" s="36"/>
      <c r="G1028" s="36"/>
      <c r="H1028" s="36"/>
      <c r="I1028" s="36"/>
      <c r="J1028" s="36"/>
      <c r="K1028" s="36"/>
      <c r="L1028" s="36"/>
      <c r="M1028" s="36"/>
      <c r="N1028" s="36"/>
      <c r="O1028" s="36"/>
      <c r="P1028" s="36"/>
      <c r="Q1028" s="36"/>
      <c r="R1028" s="36"/>
      <c r="S1028" s="36"/>
      <c r="T1028" s="36"/>
      <c r="U1028" s="36"/>
      <c r="V1028" s="36"/>
      <c r="W1028" s="36"/>
      <c r="X1028" s="36"/>
      <c r="Y1028" s="36"/>
      <c r="Z1028" s="36"/>
      <c r="AA1028" s="36"/>
      <c r="AB1028" s="36"/>
      <c r="AC1028" s="36"/>
      <c r="AD1028" s="36"/>
      <c r="AE1028" s="36"/>
      <c r="AF1028" s="36"/>
      <c r="AG1028" s="36"/>
    </row>
    <row r="1029">
      <c r="A1029" s="36"/>
      <c r="B1029" s="36"/>
      <c r="C1029" s="3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  <c r="S1029" s="36"/>
      <c r="T1029" s="36"/>
      <c r="U1029" s="36"/>
      <c r="V1029" s="36"/>
      <c r="W1029" s="36"/>
      <c r="X1029" s="36"/>
      <c r="Y1029" s="36"/>
      <c r="Z1029" s="36"/>
      <c r="AA1029" s="36"/>
      <c r="AB1029" s="36"/>
      <c r="AC1029" s="36"/>
      <c r="AD1029" s="36"/>
      <c r="AE1029" s="36"/>
      <c r="AF1029" s="36"/>
      <c r="AG1029" s="36"/>
    </row>
    <row r="1030">
      <c r="A1030" s="36"/>
      <c r="B1030" s="36"/>
      <c r="C1030" s="36"/>
      <c r="D1030" s="36"/>
      <c r="E1030" s="36"/>
      <c r="F1030" s="36"/>
      <c r="G1030" s="36"/>
      <c r="H1030" s="36"/>
      <c r="I1030" s="36"/>
      <c r="J1030" s="36"/>
      <c r="K1030" s="36"/>
      <c r="L1030" s="36"/>
      <c r="M1030" s="36"/>
      <c r="N1030" s="36"/>
      <c r="O1030" s="36"/>
      <c r="P1030" s="36"/>
      <c r="Q1030" s="36"/>
      <c r="R1030" s="36"/>
      <c r="S1030" s="36"/>
      <c r="T1030" s="36"/>
      <c r="U1030" s="36"/>
      <c r="V1030" s="36"/>
      <c r="W1030" s="36"/>
      <c r="X1030" s="36"/>
      <c r="Y1030" s="36"/>
      <c r="Z1030" s="36"/>
      <c r="AA1030" s="36"/>
      <c r="AB1030" s="36"/>
      <c r="AC1030" s="36"/>
      <c r="AD1030" s="36"/>
      <c r="AE1030" s="36"/>
      <c r="AF1030" s="36"/>
      <c r="AG1030" s="36"/>
    </row>
    <row r="1031">
      <c r="A1031" s="36"/>
      <c r="B1031" s="36"/>
      <c r="C1031" s="36"/>
      <c r="D1031" s="36"/>
      <c r="E1031" s="36"/>
      <c r="F1031" s="36"/>
      <c r="G1031" s="36"/>
      <c r="H1031" s="36"/>
      <c r="I1031" s="36"/>
      <c r="J1031" s="36"/>
      <c r="K1031" s="36"/>
      <c r="L1031" s="36"/>
      <c r="M1031" s="36"/>
      <c r="N1031" s="36"/>
      <c r="O1031" s="36"/>
      <c r="P1031" s="36"/>
      <c r="Q1031" s="36"/>
      <c r="R1031" s="36"/>
      <c r="S1031" s="36"/>
      <c r="T1031" s="36"/>
      <c r="U1031" s="36"/>
      <c r="V1031" s="36"/>
      <c r="W1031" s="36"/>
      <c r="X1031" s="36"/>
      <c r="Y1031" s="36"/>
      <c r="Z1031" s="36"/>
      <c r="AA1031" s="36"/>
      <c r="AB1031" s="36"/>
      <c r="AC1031" s="36"/>
      <c r="AD1031" s="36"/>
      <c r="AE1031" s="36"/>
      <c r="AF1031" s="36"/>
      <c r="AG1031" s="36"/>
    </row>
    <row r="1032">
      <c r="A1032" s="36"/>
      <c r="B1032" s="36"/>
      <c r="C1032" s="36"/>
      <c r="D1032" s="36"/>
      <c r="E1032" s="36"/>
      <c r="F1032" s="36"/>
      <c r="G1032" s="36"/>
      <c r="H1032" s="36"/>
      <c r="I1032" s="36"/>
      <c r="J1032" s="36"/>
      <c r="K1032" s="36"/>
      <c r="L1032" s="36"/>
      <c r="M1032" s="36"/>
      <c r="N1032" s="36"/>
      <c r="O1032" s="36"/>
      <c r="P1032" s="36"/>
      <c r="Q1032" s="36"/>
      <c r="R1032" s="36"/>
      <c r="S1032" s="36"/>
      <c r="T1032" s="36"/>
      <c r="U1032" s="36"/>
      <c r="V1032" s="36"/>
      <c r="W1032" s="36"/>
      <c r="X1032" s="36"/>
      <c r="Y1032" s="36"/>
      <c r="Z1032" s="36"/>
      <c r="AA1032" s="36"/>
      <c r="AB1032" s="36"/>
      <c r="AC1032" s="36"/>
      <c r="AD1032" s="36"/>
      <c r="AE1032" s="36"/>
      <c r="AF1032" s="36"/>
      <c r="AG1032" s="36"/>
    </row>
    <row r="1033">
      <c r="A1033" s="36"/>
      <c r="B1033" s="36"/>
      <c r="C1033" s="3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  <c r="S1033" s="36"/>
      <c r="T1033" s="36"/>
      <c r="U1033" s="36"/>
      <c r="V1033" s="36"/>
      <c r="W1033" s="36"/>
      <c r="X1033" s="36"/>
      <c r="Y1033" s="36"/>
      <c r="Z1033" s="36"/>
      <c r="AA1033" s="36"/>
      <c r="AB1033" s="36"/>
      <c r="AC1033" s="36"/>
      <c r="AD1033" s="36"/>
      <c r="AE1033" s="36"/>
      <c r="AF1033" s="36"/>
      <c r="AG1033" s="36"/>
    </row>
    <row r="1034">
      <c r="A1034" s="36"/>
      <c r="B1034" s="36"/>
      <c r="C1034" s="36"/>
      <c r="D1034" s="36"/>
      <c r="E1034" s="36"/>
      <c r="F1034" s="36"/>
      <c r="G1034" s="36"/>
      <c r="H1034" s="36"/>
      <c r="I1034" s="36"/>
      <c r="J1034" s="36"/>
      <c r="K1034" s="36"/>
      <c r="L1034" s="36"/>
      <c r="M1034" s="36"/>
      <c r="N1034" s="36"/>
      <c r="O1034" s="36"/>
      <c r="P1034" s="36"/>
      <c r="Q1034" s="36"/>
      <c r="R1034" s="36"/>
      <c r="S1034" s="36"/>
      <c r="T1034" s="36"/>
      <c r="U1034" s="36"/>
      <c r="V1034" s="36"/>
      <c r="W1034" s="36"/>
      <c r="X1034" s="36"/>
      <c r="Y1034" s="36"/>
      <c r="Z1034" s="36"/>
      <c r="AA1034" s="36"/>
      <c r="AB1034" s="36"/>
      <c r="AC1034" s="36"/>
      <c r="AD1034" s="36"/>
      <c r="AE1034" s="36"/>
      <c r="AF1034" s="36"/>
      <c r="AG1034" s="36"/>
    </row>
    <row r="1035">
      <c r="A1035" s="36"/>
      <c r="B1035" s="36"/>
      <c r="C1035" s="36"/>
      <c r="D1035" s="36"/>
      <c r="E1035" s="36"/>
      <c r="F1035" s="36"/>
      <c r="G1035" s="36"/>
      <c r="H1035" s="36"/>
      <c r="I1035" s="36"/>
      <c r="J1035" s="36"/>
      <c r="K1035" s="36"/>
      <c r="L1035" s="36"/>
      <c r="M1035" s="36"/>
      <c r="N1035" s="36"/>
      <c r="O1035" s="36"/>
      <c r="P1035" s="36"/>
      <c r="Q1035" s="36"/>
      <c r="R1035" s="36"/>
      <c r="S1035" s="36"/>
      <c r="T1035" s="36"/>
      <c r="U1035" s="36"/>
      <c r="V1035" s="36"/>
      <c r="W1035" s="36"/>
      <c r="X1035" s="36"/>
      <c r="Y1035" s="36"/>
      <c r="Z1035" s="36"/>
      <c r="AA1035" s="36"/>
      <c r="AB1035" s="36"/>
      <c r="AC1035" s="36"/>
      <c r="AD1035" s="36"/>
      <c r="AE1035" s="36"/>
      <c r="AF1035" s="36"/>
      <c r="AG1035" s="36"/>
    </row>
    <row r="1036">
      <c r="A1036" s="36"/>
      <c r="B1036" s="36"/>
      <c r="C1036" s="36"/>
      <c r="D1036" s="36"/>
      <c r="E1036" s="36"/>
      <c r="F1036" s="36"/>
      <c r="G1036" s="36"/>
      <c r="H1036" s="36"/>
      <c r="I1036" s="36"/>
      <c r="J1036" s="36"/>
      <c r="K1036" s="36"/>
      <c r="L1036" s="36"/>
      <c r="M1036" s="36"/>
      <c r="N1036" s="36"/>
      <c r="O1036" s="36"/>
      <c r="P1036" s="36"/>
      <c r="Q1036" s="36"/>
      <c r="R1036" s="36"/>
      <c r="S1036" s="36"/>
      <c r="T1036" s="36"/>
      <c r="U1036" s="36"/>
      <c r="V1036" s="36"/>
      <c r="W1036" s="36"/>
      <c r="X1036" s="36"/>
      <c r="Y1036" s="36"/>
      <c r="Z1036" s="36"/>
      <c r="AA1036" s="36"/>
      <c r="AB1036" s="36"/>
      <c r="AC1036" s="36"/>
      <c r="AD1036" s="36"/>
      <c r="AE1036" s="36"/>
      <c r="AF1036" s="36"/>
      <c r="AG1036" s="36"/>
    </row>
    <row r="1037">
      <c r="A1037" s="36"/>
      <c r="B1037" s="36"/>
      <c r="C1037" s="3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  <c r="S1037" s="36"/>
      <c r="T1037" s="36"/>
      <c r="U1037" s="36"/>
      <c r="V1037" s="36"/>
      <c r="W1037" s="36"/>
      <c r="X1037" s="36"/>
      <c r="Y1037" s="36"/>
      <c r="Z1037" s="36"/>
      <c r="AA1037" s="36"/>
      <c r="AB1037" s="36"/>
      <c r="AC1037" s="36"/>
      <c r="AD1037" s="36"/>
      <c r="AE1037" s="36"/>
      <c r="AF1037" s="36"/>
      <c r="AG1037" s="36"/>
    </row>
    <row r="1038">
      <c r="A1038" s="36"/>
      <c r="B1038" s="36"/>
      <c r="C1038" s="36"/>
      <c r="D1038" s="36"/>
      <c r="E1038" s="36"/>
      <c r="F1038" s="36"/>
      <c r="G1038" s="36"/>
      <c r="H1038" s="36"/>
      <c r="I1038" s="36"/>
      <c r="J1038" s="36"/>
      <c r="K1038" s="36"/>
      <c r="L1038" s="36"/>
      <c r="M1038" s="36"/>
      <c r="N1038" s="36"/>
      <c r="O1038" s="36"/>
      <c r="P1038" s="36"/>
      <c r="Q1038" s="36"/>
      <c r="R1038" s="36"/>
      <c r="S1038" s="36"/>
      <c r="T1038" s="36"/>
      <c r="U1038" s="36"/>
      <c r="V1038" s="36"/>
      <c r="W1038" s="36"/>
      <c r="X1038" s="36"/>
      <c r="Y1038" s="36"/>
      <c r="Z1038" s="36"/>
      <c r="AA1038" s="36"/>
      <c r="AB1038" s="36"/>
      <c r="AC1038" s="36"/>
      <c r="AD1038" s="36"/>
      <c r="AE1038" s="36"/>
      <c r="AF1038" s="36"/>
      <c r="AG1038" s="36"/>
    </row>
    <row r="1039">
      <c r="A1039" s="36"/>
      <c r="B1039" s="36"/>
      <c r="C1039" s="36"/>
      <c r="D1039" s="36"/>
      <c r="E1039" s="36"/>
      <c r="F1039" s="36"/>
      <c r="G1039" s="36"/>
      <c r="H1039" s="36"/>
      <c r="I1039" s="36"/>
      <c r="J1039" s="36"/>
      <c r="K1039" s="36"/>
      <c r="L1039" s="36"/>
      <c r="M1039" s="36"/>
      <c r="N1039" s="36"/>
      <c r="O1039" s="36"/>
      <c r="P1039" s="36"/>
      <c r="Q1039" s="36"/>
      <c r="R1039" s="36"/>
      <c r="S1039" s="36"/>
      <c r="T1039" s="36"/>
      <c r="U1039" s="36"/>
      <c r="V1039" s="36"/>
      <c r="W1039" s="36"/>
      <c r="X1039" s="36"/>
      <c r="Y1039" s="36"/>
      <c r="Z1039" s="36"/>
      <c r="AA1039" s="36"/>
      <c r="AB1039" s="36"/>
      <c r="AC1039" s="36"/>
      <c r="AD1039" s="36"/>
      <c r="AE1039" s="36"/>
      <c r="AF1039" s="36"/>
      <c r="AG1039" s="36"/>
    </row>
    <row r="1040">
      <c r="A1040" s="36"/>
      <c r="B1040" s="36"/>
      <c r="C1040" s="36"/>
      <c r="D1040" s="36"/>
      <c r="E1040" s="36"/>
      <c r="F1040" s="36"/>
      <c r="G1040" s="36"/>
      <c r="H1040" s="36"/>
      <c r="I1040" s="36"/>
      <c r="J1040" s="36"/>
      <c r="K1040" s="36"/>
      <c r="L1040" s="36"/>
      <c r="M1040" s="36"/>
      <c r="N1040" s="36"/>
      <c r="O1040" s="36"/>
      <c r="P1040" s="36"/>
      <c r="Q1040" s="36"/>
      <c r="R1040" s="36"/>
      <c r="S1040" s="36"/>
      <c r="T1040" s="36"/>
      <c r="U1040" s="36"/>
      <c r="V1040" s="36"/>
      <c r="W1040" s="36"/>
      <c r="X1040" s="36"/>
      <c r="Y1040" s="36"/>
      <c r="Z1040" s="36"/>
      <c r="AA1040" s="36"/>
      <c r="AB1040" s="36"/>
      <c r="AC1040" s="36"/>
      <c r="AD1040" s="36"/>
      <c r="AE1040" s="36"/>
      <c r="AF1040" s="36"/>
      <c r="AG1040" s="36"/>
    </row>
    <row r="1041">
      <c r="A1041" s="36"/>
      <c r="B1041" s="36"/>
      <c r="C1041" s="3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  <c r="S1041" s="36"/>
      <c r="T1041" s="36"/>
      <c r="U1041" s="36"/>
      <c r="V1041" s="36"/>
      <c r="W1041" s="36"/>
      <c r="X1041" s="36"/>
      <c r="Y1041" s="36"/>
      <c r="Z1041" s="36"/>
      <c r="AA1041" s="36"/>
      <c r="AB1041" s="36"/>
      <c r="AC1041" s="36"/>
      <c r="AD1041" s="36"/>
      <c r="AE1041" s="36"/>
      <c r="AF1041" s="36"/>
      <c r="AG1041" s="36"/>
    </row>
    <row r="1042">
      <c r="A1042" s="36"/>
      <c r="B1042" s="36"/>
      <c r="C1042" s="36"/>
      <c r="D1042" s="36"/>
      <c r="E1042" s="36"/>
      <c r="F1042" s="36"/>
      <c r="G1042" s="36"/>
      <c r="H1042" s="36"/>
      <c r="I1042" s="36"/>
      <c r="J1042" s="36"/>
      <c r="K1042" s="36"/>
      <c r="L1042" s="36"/>
      <c r="M1042" s="36"/>
      <c r="N1042" s="36"/>
      <c r="O1042" s="36"/>
      <c r="P1042" s="36"/>
      <c r="Q1042" s="36"/>
      <c r="R1042" s="36"/>
      <c r="S1042" s="36"/>
      <c r="T1042" s="36"/>
      <c r="U1042" s="36"/>
      <c r="V1042" s="36"/>
      <c r="W1042" s="36"/>
      <c r="X1042" s="36"/>
      <c r="Y1042" s="36"/>
      <c r="Z1042" s="36"/>
      <c r="AA1042" s="36"/>
      <c r="AB1042" s="36"/>
      <c r="AC1042" s="36"/>
      <c r="AD1042" s="36"/>
      <c r="AE1042" s="36"/>
      <c r="AF1042" s="36"/>
      <c r="AG1042" s="36"/>
    </row>
    <row r="1043">
      <c r="A1043" s="36"/>
      <c r="B1043" s="36"/>
      <c r="C1043" s="36"/>
      <c r="D1043" s="36"/>
      <c r="E1043" s="36"/>
      <c r="F1043" s="36"/>
      <c r="G1043" s="36"/>
      <c r="H1043" s="36"/>
      <c r="I1043" s="36"/>
      <c r="J1043" s="36"/>
      <c r="K1043" s="36"/>
      <c r="L1043" s="36"/>
      <c r="M1043" s="36"/>
      <c r="N1043" s="36"/>
      <c r="O1043" s="36"/>
      <c r="P1043" s="36"/>
      <c r="Q1043" s="36"/>
      <c r="R1043" s="36"/>
      <c r="S1043" s="36"/>
      <c r="T1043" s="36"/>
      <c r="U1043" s="36"/>
      <c r="V1043" s="36"/>
      <c r="W1043" s="36"/>
      <c r="X1043" s="36"/>
      <c r="Y1043" s="36"/>
      <c r="Z1043" s="36"/>
      <c r="AA1043" s="36"/>
      <c r="AB1043" s="36"/>
      <c r="AC1043" s="36"/>
      <c r="AD1043" s="36"/>
      <c r="AE1043" s="36"/>
      <c r="AF1043" s="36"/>
      <c r="AG1043" s="36"/>
    </row>
    <row r="1044">
      <c r="A1044" s="36"/>
      <c r="B1044" s="36"/>
      <c r="C1044" s="36"/>
      <c r="D1044" s="36"/>
      <c r="E1044" s="36"/>
      <c r="F1044" s="36"/>
      <c r="G1044" s="36"/>
      <c r="H1044" s="36"/>
      <c r="I1044" s="36"/>
      <c r="J1044" s="36"/>
      <c r="K1044" s="36"/>
      <c r="L1044" s="36"/>
      <c r="M1044" s="36"/>
      <c r="N1044" s="36"/>
      <c r="O1044" s="36"/>
      <c r="P1044" s="36"/>
      <c r="Q1044" s="36"/>
      <c r="R1044" s="36"/>
      <c r="S1044" s="36"/>
      <c r="T1044" s="36"/>
      <c r="U1044" s="36"/>
      <c r="V1044" s="36"/>
      <c r="W1044" s="36"/>
      <c r="X1044" s="36"/>
      <c r="Y1044" s="36"/>
      <c r="Z1044" s="36"/>
      <c r="AA1044" s="36"/>
      <c r="AB1044" s="36"/>
      <c r="AC1044" s="36"/>
      <c r="AD1044" s="36"/>
      <c r="AE1044" s="36"/>
      <c r="AF1044" s="36"/>
      <c r="AG1044" s="36"/>
    </row>
    <row r="1045">
      <c r="A1045" s="36"/>
      <c r="B1045" s="36"/>
      <c r="C1045" s="3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  <c r="S1045" s="36"/>
      <c r="T1045" s="36"/>
      <c r="U1045" s="36"/>
      <c r="V1045" s="36"/>
      <c r="W1045" s="36"/>
      <c r="X1045" s="36"/>
      <c r="Y1045" s="36"/>
      <c r="Z1045" s="36"/>
      <c r="AA1045" s="36"/>
      <c r="AB1045" s="36"/>
      <c r="AC1045" s="36"/>
      <c r="AD1045" s="36"/>
      <c r="AE1045" s="36"/>
      <c r="AF1045" s="36"/>
      <c r="AG1045" s="36"/>
    </row>
    <row r="1046">
      <c r="A1046" s="36"/>
      <c r="B1046" s="36"/>
      <c r="C1046" s="36"/>
      <c r="D1046" s="36"/>
      <c r="E1046" s="36"/>
      <c r="F1046" s="36"/>
      <c r="G1046" s="36"/>
      <c r="H1046" s="36"/>
      <c r="I1046" s="36"/>
      <c r="J1046" s="36"/>
      <c r="K1046" s="36"/>
      <c r="L1046" s="36"/>
      <c r="M1046" s="36"/>
      <c r="N1046" s="36"/>
      <c r="O1046" s="36"/>
      <c r="P1046" s="36"/>
      <c r="Q1046" s="36"/>
      <c r="R1046" s="36"/>
      <c r="S1046" s="36"/>
      <c r="T1046" s="36"/>
      <c r="U1046" s="36"/>
      <c r="V1046" s="36"/>
      <c r="W1046" s="36"/>
      <c r="X1046" s="36"/>
      <c r="Y1046" s="36"/>
      <c r="Z1046" s="36"/>
      <c r="AA1046" s="36"/>
      <c r="AB1046" s="36"/>
      <c r="AC1046" s="36"/>
      <c r="AD1046" s="36"/>
      <c r="AE1046" s="36"/>
      <c r="AF1046" s="36"/>
      <c r="AG1046" s="36"/>
    </row>
    <row r="1047">
      <c r="A1047" s="36"/>
      <c r="B1047" s="36"/>
      <c r="C1047" s="36"/>
      <c r="D1047" s="36"/>
      <c r="E1047" s="36"/>
      <c r="F1047" s="36"/>
      <c r="G1047" s="36"/>
      <c r="H1047" s="36"/>
      <c r="I1047" s="36"/>
      <c r="J1047" s="36"/>
      <c r="K1047" s="36"/>
      <c r="L1047" s="36"/>
      <c r="M1047" s="36"/>
      <c r="N1047" s="36"/>
      <c r="O1047" s="36"/>
      <c r="P1047" s="36"/>
      <c r="Q1047" s="36"/>
      <c r="R1047" s="36"/>
      <c r="S1047" s="36"/>
      <c r="T1047" s="36"/>
      <c r="U1047" s="36"/>
      <c r="V1047" s="36"/>
      <c r="W1047" s="36"/>
      <c r="X1047" s="36"/>
      <c r="Y1047" s="36"/>
      <c r="Z1047" s="36"/>
      <c r="AA1047" s="36"/>
      <c r="AB1047" s="36"/>
      <c r="AC1047" s="36"/>
      <c r="AD1047" s="36"/>
      <c r="AE1047" s="36"/>
      <c r="AF1047" s="36"/>
      <c r="AG1047" s="36"/>
    </row>
    <row r="1048">
      <c r="A1048" s="36"/>
      <c r="B1048" s="36"/>
      <c r="C1048" s="36"/>
      <c r="D1048" s="36"/>
      <c r="E1048" s="36"/>
      <c r="F1048" s="36"/>
      <c r="G1048" s="36"/>
      <c r="H1048" s="36"/>
      <c r="I1048" s="36"/>
      <c r="J1048" s="36"/>
      <c r="K1048" s="36"/>
      <c r="L1048" s="36"/>
      <c r="M1048" s="36"/>
      <c r="N1048" s="36"/>
      <c r="O1048" s="36"/>
      <c r="P1048" s="36"/>
      <c r="Q1048" s="36"/>
      <c r="R1048" s="36"/>
      <c r="S1048" s="36"/>
      <c r="T1048" s="36"/>
      <c r="U1048" s="36"/>
      <c r="V1048" s="36"/>
      <c r="W1048" s="36"/>
      <c r="X1048" s="36"/>
      <c r="Y1048" s="36"/>
      <c r="Z1048" s="36"/>
      <c r="AA1048" s="36"/>
      <c r="AB1048" s="36"/>
      <c r="AC1048" s="36"/>
      <c r="AD1048" s="36"/>
      <c r="AE1048" s="36"/>
      <c r="AF1048" s="36"/>
      <c r="AG1048" s="36"/>
    </row>
    <row r="1049">
      <c r="A1049" s="36"/>
      <c r="B1049" s="36"/>
      <c r="C1049" s="3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  <c r="S1049" s="36"/>
      <c r="T1049" s="36"/>
      <c r="U1049" s="36"/>
      <c r="V1049" s="36"/>
      <c r="W1049" s="36"/>
      <c r="X1049" s="36"/>
      <c r="Y1049" s="36"/>
      <c r="Z1049" s="36"/>
      <c r="AA1049" s="36"/>
      <c r="AB1049" s="36"/>
      <c r="AC1049" s="36"/>
      <c r="AD1049" s="36"/>
      <c r="AE1049" s="36"/>
      <c r="AF1049" s="36"/>
      <c r="AG1049" s="36"/>
    </row>
    <row r="1050">
      <c r="A1050" s="36"/>
      <c r="B1050" s="36"/>
      <c r="C1050" s="36"/>
      <c r="D1050" s="36"/>
      <c r="E1050" s="36"/>
      <c r="F1050" s="36"/>
      <c r="G1050" s="36"/>
      <c r="H1050" s="36"/>
      <c r="I1050" s="36"/>
      <c r="J1050" s="36"/>
      <c r="K1050" s="36"/>
      <c r="L1050" s="36"/>
      <c r="M1050" s="36"/>
      <c r="N1050" s="36"/>
      <c r="O1050" s="36"/>
      <c r="P1050" s="36"/>
      <c r="Q1050" s="36"/>
      <c r="R1050" s="36"/>
      <c r="S1050" s="36"/>
      <c r="T1050" s="36"/>
      <c r="U1050" s="36"/>
      <c r="V1050" s="36"/>
      <c r="W1050" s="36"/>
      <c r="X1050" s="36"/>
      <c r="Y1050" s="36"/>
      <c r="Z1050" s="36"/>
      <c r="AA1050" s="36"/>
      <c r="AB1050" s="36"/>
      <c r="AC1050" s="36"/>
      <c r="AD1050" s="36"/>
      <c r="AE1050" s="36"/>
      <c r="AF1050" s="36"/>
      <c r="AG1050" s="36"/>
    </row>
    <row r="1051">
      <c r="A1051" s="36"/>
      <c r="B1051" s="36"/>
      <c r="C1051" s="36"/>
      <c r="D1051" s="36"/>
      <c r="E1051" s="36"/>
      <c r="F1051" s="36"/>
      <c r="G1051" s="36"/>
      <c r="H1051" s="36"/>
      <c r="I1051" s="36"/>
      <c r="J1051" s="36"/>
      <c r="K1051" s="36"/>
      <c r="L1051" s="36"/>
      <c r="M1051" s="36"/>
      <c r="N1051" s="36"/>
      <c r="O1051" s="36"/>
      <c r="P1051" s="36"/>
      <c r="Q1051" s="36"/>
      <c r="R1051" s="36"/>
      <c r="S1051" s="36"/>
      <c r="T1051" s="36"/>
      <c r="U1051" s="36"/>
      <c r="V1051" s="36"/>
      <c r="W1051" s="36"/>
      <c r="X1051" s="36"/>
      <c r="Y1051" s="36"/>
      <c r="Z1051" s="36"/>
      <c r="AA1051" s="36"/>
      <c r="AB1051" s="36"/>
      <c r="AC1051" s="36"/>
      <c r="AD1051" s="36"/>
      <c r="AE1051" s="36"/>
      <c r="AF1051" s="36"/>
      <c r="AG1051" s="36"/>
    </row>
    <row r="1052">
      <c r="A1052" s="36"/>
      <c r="B1052" s="36"/>
      <c r="C1052" s="36"/>
      <c r="D1052" s="36"/>
      <c r="E1052" s="36"/>
      <c r="F1052" s="36"/>
      <c r="G1052" s="36"/>
      <c r="H1052" s="36"/>
      <c r="I1052" s="36"/>
      <c r="J1052" s="36"/>
      <c r="K1052" s="36"/>
      <c r="L1052" s="36"/>
      <c r="M1052" s="36"/>
      <c r="N1052" s="36"/>
      <c r="O1052" s="36"/>
      <c r="P1052" s="36"/>
      <c r="Q1052" s="36"/>
      <c r="R1052" s="36"/>
      <c r="S1052" s="36"/>
      <c r="T1052" s="36"/>
      <c r="U1052" s="36"/>
      <c r="V1052" s="36"/>
      <c r="W1052" s="36"/>
      <c r="X1052" s="36"/>
      <c r="Y1052" s="36"/>
      <c r="Z1052" s="36"/>
      <c r="AA1052" s="36"/>
      <c r="AB1052" s="36"/>
      <c r="AC1052" s="36"/>
      <c r="AD1052" s="36"/>
      <c r="AE1052" s="36"/>
      <c r="AF1052" s="36"/>
      <c r="AG1052" s="36"/>
    </row>
    <row r="1053">
      <c r="A1053" s="36"/>
      <c r="B1053" s="36"/>
      <c r="C1053" s="3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  <c r="S1053" s="36"/>
      <c r="T1053" s="36"/>
      <c r="U1053" s="36"/>
      <c r="V1053" s="36"/>
      <c r="W1053" s="36"/>
      <c r="X1053" s="36"/>
      <c r="Y1053" s="36"/>
      <c r="Z1053" s="36"/>
      <c r="AA1053" s="36"/>
      <c r="AB1053" s="36"/>
      <c r="AC1053" s="36"/>
      <c r="AD1053" s="36"/>
      <c r="AE1053" s="36"/>
      <c r="AF1053" s="36"/>
      <c r="AG1053" s="36"/>
    </row>
    <row r="1054">
      <c r="A1054" s="36"/>
      <c r="B1054" s="36"/>
      <c r="C1054" s="36"/>
      <c r="D1054" s="36"/>
      <c r="E1054" s="36"/>
      <c r="F1054" s="36"/>
      <c r="G1054" s="36"/>
      <c r="H1054" s="36"/>
      <c r="I1054" s="36"/>
      <c r="J1054" s="36"/>
      <c r="K1054" s="36"/>
      <c r="L1054" s="36"/>
      <c r="M1054" s="36"/>
      <c r="N1054" s="36"/>
      <c r="O1054" s="36"/>
      <c r="P1054" s="36"/>
      <c r="Q1054" s="36"/>
      <c r="R1054" s="36"/>
      <c r="S1054" s="36"/>
      <c r="T1054" s="36"/>
      <c r="U1054" s="36"/>
      <c r="V1054" s="36"/>
      <c r="W1054" s="36"/>
      <c r="X1054" s="36"/>
      <c r="Y1054" s="36"/>
      <c r="Z1054" s="36"/>
      <c r="AA1054" s="36"/>
      <c r="AB1054" s="36"/>
      <c r="AC1054" s="36"/>
      <c r="AD1054" s="36"/>
      <c r="AE1054" s="36"/>
      <c r="AF1054" s="36"/>
      <c r="AG1054" s="36"/>
    </row>
    <row r="1055">
      <c r="A1055" s="36"/>
      <c r="B1055" s="36"/>
      <c r="C1055" s="36"/>
      <c r="D1055" s="36"/>
      <c r="E1055" s="36"/>
      <c r="F1055" s="36"/>
      <c r="G1055" s="36"/>
      <c r="H1055" s="36"/>
      <c r="I1055" s="36"/>
      <c r="J1055" s="36"/>
      <c r="K1055" s="36"/>
      <c r="L1055" s="36"/>
      <c r="M1055" s="36"/>
      <c r="N1055" s="36"/>
      <c r="O1055" s="36"/>
      <c r="P1055" s="36"/>
      <c r="Q1055" s="36"/>
      <c r="R1055" s="36"/>
      <c r="S1055" s="36"/>
      <c r="T1055" s="36"/>
      <c r="U1055" s="36"/>
      <c r="V1055" s="36"/>
      <c r="W1055" s="36"/>
      <c r="X1055" s="36"/>
      <c r="Y1055" s="36"/>
      <c r="Z1055" s="36"/>
      <c r="AA1055" s="36"/>
      <c r="AB1055" s="36"/>
      <c r="AC1055" s="36"/>
      <c r="AD1055" s="36"/>
      <c r="AE1055" s="36"/>
      <c r="AF1055" s="36"/>
      <c r="AG1055" s="36"/>
    </row>
    <row r="1056">
      <c r="A1056" s="36"/>
      <c r="B1056" s="36"/>
      <c r="C1056" s="36"/>
      <c r="D1056" s="36"/>
      <c r="E1056" s="36"/>
      <c r="F1056" s="36"/>
      <c r="G1056" s="36"/>
      <c r="H1056" s="36"/>
      <c r="I1056" s="36"/>
      <c r="J1056" s="36"/>
      <c r="K1056" s="36"/>
      <c r="L1056" s="36"/>
      <c r="M1056" s="36"/>
      <c r="N1056" s="36"/>
      <c r="O1056" s="36"/>
      <c r="P1056" s="36"/>
      <c r="Q1056" s="36"/>
      <c r="R1056" s="36"/>
      <c r="S1056" s="36"/>
      <c r="T1056" s="36"/>
      <c r="U1056" s="36"/>
      <c r="V1056" s="36"/>
      <c r="W1056" s="36"/>
      <c r="X1056" s="36"/>
      <c r="Y1056" s="36"/>
      <c r="Z1056" s="36"/>
      <c r="AA1056" s="36"/>
      <c r="AB1056" s="36"/>
      <c r="AC1056" s="36"/>
      <c r="AD1056" s="36"/>
      <c r="AE1056" s="36"/>
      <c r="AF1056" s="36"/>
      <c r="AG1056" s="36"/>
    </row>
    <row r="1057">
      <c r="A1057" s="36"/>
      <c r="B1057" s="36"/>
      <c r="C1057" s="3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  <c r="S1057" s="36"/>
      <c r="T1057" s="36"/>
      <c r="U1057" s="36"/>
      <c r="V1057" s="36"/>
      <c r="W1057" s="36"/>
      <c r="X1057" s="36"/>
      <c r="Y1057" s="36"/>
      <c r="Z1057" s="36"/>
      <c r="AA1057" s="36"/>
      <c r="AB1057" s="36"/>
      <c r="AC1057" s="36"/>
      <c r="AD1057" s="36"/>
      <c r="AE1057" s="36"/>
      <c r="AF1057" s="36"/>
      <c r="AG1057" s="36"/>
    </row>
    <row r="1058">
      <c r="A1058" s="36"/>
      <c r="B1058" s="36"/>
      <c r="C1058" s="36"/>
      <c r="D1058" s="36"/>
      <c r="E1058" s="36"/>
      <c r="F1058" s="36"/>
      <c r="G1058" s="36"/>
      <c r="H1058" s="36"/>
      <c r="I1058" s="36"/>
      <c r="J1058" s="36"/>
      <c r="K1058" s="36"/>
      <c r="L1058" s="36"/>
      <c r="M1058" s="36"/>
      <c r="N1058" s="36"/>
      <c r="O1058" s="36"/>
      <c r="P1058" s="36"/>
      <c r="Q1058" s="36"/>
      <c r="R1058" s="36"/>
      <c r="S1058" s="36"/>
      <c r="T1058" s="36"/>
      <c r="U1058" s="36"/>
      <c r="V1058" s="36"/>
      <c r="W1058" s="36"/>
      <c r="X1058" s="36"/>
      <c r="Y1058" s="36"/>
      <c r="Z1058" s="36"/>
      <c r="AA1058" s="36"/>
      <c r="AB1058" s="36"/>
      <c r="AC1058" s="36"/>
      <c r="AD1058" s="36"/>
      <c r="AE1058" s="36"/>
      <c r="AF1058" s="36"/>
      <c r="AG1058" s="36"/>
    </row>
    <row r="1059">
      <c r="A1059" s="36"/>
      <c r="B1059" s="36"/>
      <c r="C1059" s="36"/>
      <c r="D1059" s="36"/>
      <c r="E1059" s="36"/>
      <c r="F1059" s="36"/>
      <c r="G1059" s="36"/>
      <c r="H1059" s="36"/>
      <c r="I1059" s="36"/>
      <c r="J1059" s="36"/>
      <c r="K1059" s="36"/>
      <c r="L1059" s="36"/>
      <c r="M1059" s="36"/>
      <c r="N1059" s="36"/>
      <c r="O1059" s="36"/>
      <c r="P1059" s="36"/>
      <c r="Q1059" s="36"/>
      <c r="R1059" s="36"/>
      <c r="S1059" s="36"/>
      <c r="T1059" s="36"/>
      <c r="U1059" s="36"/>
      <c r="V1059" s="36"/>
      <c r="W1059" s="36"/>
      <c r="X1059" s="36"/>
      <c r="Y1059" s="36"/>
      <c r="Z1059" s="36"/>
      <c r="AA1059" s="36"/>
      <c r="AB1059" s="36"/>
      <c r="AC1059" s="36"/>
      <c r="AD1059" s="36"/>
      <c r="AE1059" s="36"/>
      <c r="AF1059" s="36"/>
      <c r="AG1059" s="36"/>
    </row>
    <row r="1060">
      <c r="A1060" s="36"/>
      <c r="B1060" s="36"/>
      <c r="C1060" s="36"/>
      <c r="D1060" s="36"/>
      <c r="E1060" s="36"/>
      <c r="F1060" s="36"/>
      <c r="G1060" s="36"/>
      <c r="H1060" s="36"/>
      <c r="I1060" s="36"/>
      <c r="J1060" s="36"/>
      <c r="K1060" s="36"/>
      <c r="L1060" s="36"/>
      <c r="M1060" s="36"/>
      <c r="N1060" s="36"/>
      <c r="O1060" s="36"/>
      <c r="P1060" s="36"/>
      <c r="Q1060" s="36"/>
      <c r="R1060" s="36"/>
      <c r="S1060" s="36"/>
      <c r="T1060" s="36"/>
      <c r="U1060" s="36"/>
      <c r="V1060" s="36"/>
      <c r="W1060" s="36"/>
      <c r="X1060" s="36"/>
      <c r="Y1060" s="36"/>
      <c r="Z1060" s="36"/>
      <c r="AA1060" s="36"/>
      <c r="AB1060" s="36"/>
      <c r="AC1060" s="36"/>
      <c r="AD1060" s="36"/>
      <c r="AE1060" s="36"/>
      <c r="AF1060" s="36"/>
      <c r="AG1060" s="36"/>
    </row>
    <row r="1061">
      <c r="A1061" s="36"/>
      <c r="B1061" s="36"/>
      <c r="C1061" s="3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  <c r="S1061" s="36"/>
      <c r="T1061" s="36"/>
      <c r="U1061" s="36"/>
      <c r="V1061" s="36"/>
      <c r="W1061" s="36"/>
      <c r="X1061" s="36"/>
      <c r="Y1061" s="36"/>
      <c r="Z1061" s="36"/>
      <c r="AA1061" s="36"/>
      <c r="AB1061" s="36"/>
      <c r="AC1061" s="36"/>
      <c r="AD1061" s="36"/>
      <c r="AE1061" s="36"/>
      <c r="AF1061" s="36"/>
      <c r="AG1061" s="36"/>
    </row>
    <row r="1062">
      <c r="A1062" s="36"/>
      <c r="B1062" s="36"/>
      <c r="C1062" s="36"/>
      <c r="D1062" s="36"/>
      <c r="E1062" s="36"/>
      <c r="F1062" s="36"/>
      <c r="G1062" s="36"/>
      <c r="H1062" s="36"/>
      <c r="I1062" s="36"/>
      <c r="J1062" s="36"/>
      <c r="K1062" s="36"/>
      <c r="L1062" s="36"/>
      <c r="M1062" s="36"/>
      <c r="N1062" s="36"/>
      <c r="O1062" s="36"/>
      <c r="P1062" s="36"/>
      <c r="Q1062" s="36"/>
      <c r="R1062" s="36"/>
      <c r="S1062" s="36"/>
      <c r="T1062" s="36"/>
      <c r="U1062" s="36"/>
      <c r="V1062" s="36"/>
      <c r="W1062" s="36"/>
      <c r="X1062" s="36"/>
      <c r="Y1062" s="36"/>
      <c r="Z1062" s="36"/>
      <c r="AA1062" s="36"/>
      <c r="AB1062" s="36"/>
      <c r="AC1062" s="36"/>
      <c r="AD1062" s="36"/>
      <c r="AE1062" s="36"/>
      <c r="AF1062" s="36"/>
      <c r="AG1062" s="36"/>
    </row>
    <row r="1063">
      <c r="A1063" s="36"/>
      <c r="B1063" s="36"/>
      <c r="C1063" s="36"/>
      <c r="D1063" s="36"/>
      <c r="E1063" s="36"/>
      <c r="F1063" s="36"/>
      <c r="G1063" s="36"/>
      <c r="H1063" s="36"/>
      <c r="I1063" s="36"/>
      <c r="J1063" s="36"/>
      <c r="K1063" s="36"/>
      <c r="L1063" s="36"/>
      <c r="M1063" s="36"/>
      <c r="N1063" s="36"/>
      <c r="O1063" s="36"/>
      <c r="P1063" s="36"/>
      <c r="Q1063" s="36"/>
      <c r="R1063" s="36"/>
      <c r="S1063" s="36"/>
      <c r="T1063" s="36"/>
      <c r="U1063" s="36"/>
      <c r="V1063" s="36"/>
      <c r="W1063" s="36"/>
      <c r="X1063" s="36"/>
      <c r="Y1063" s="36"/>
      <c r="Z1063" s="36"/>
      <c r="AA1063" s="36"/>
      <c r="AB1063" s="36"/>
      <c r="AC1063" s="36"/>
      <c r="AD1063" s="36"/>
      <c r="AE1063" s="36"/>
      <c r="AF1063" s="36"/>
      <c r="AG1063" s="36"/>
    </row>
    <row r="1064">
      <c r="A1064" s="36"/>
      <c r="B1064" s="36"/>
      <c r="C1064" s="36"/>
      <c r="D1064" s="36"/>
      <c r="E1064" s="36"/>
      <c r="F1064" s="36"/>
      <c r="G1064" s="36"/>
      <c r="H1064" s="36"/>
      <c r="I1064" s="36"/>
      <c r="J1064" s="36"/>
      <c r="K1064" s="36"/>
      <c r="L1064" s="36"/>
      <c r="M1064" s="36"/>
      <c r="N1064" s="36"/>
      <c r="O1064" s="36"/>
      <c r="P1064" s="36"/>
      <c r="Q1064" s="36"/>
      <c r="R1064" s="36"/>
      <c r="S1064" s="36"/>
      <c r="T1064" s="36"/>
      <c r="U1064" s="36"/>
      <c r="V1064" s="36"/>
      <c r="W1064" s="36"/>
      <c r="X1064" s="36"/>
      <c r="Y1064" s="36"/>
      <c r="Z1064" s="36"/>
      <c r="AA1064" s="36"/>
      <c r="AB1064" s="36"/>
      <c r="AC1064" s="36"/>
      <c r="AD1064" s="36"/>
      <c r="AE1064" s="36"/>
      <c r="AF1064" s="36"/>
      <c r="AG1064" s="36"/>
    </row>
    <row r="1065">
      <c r="A1065" s="36"/>
      <c r="B1065" s="36"/>
      <c r="C1065" s="3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  <c r="S1065" s="36"/>
      <c r="T1065" s="36"/>
      <c r="U1065" s="36"/>
      <c r="V1065" s="36"/>
      <c r="W1065" s="36"/>
      <c r="X1065" s="36"/>
      <c r="Y1065" s="36"/>
      <c r="Z1065" s="36"/>
      <c r="AA1065" s="36"/>
      <c r="AB1065" s="36"/>
      <c r="AC1065" s="36"/>
      <c r="AD1065" s="36"/>
      <c r="AE1065" s="36"/>
      <c r="AF1065" s="36"/>
      <c r="AG1065" s="36"/>
    </row>
    <row r="1066">
      <c r="A1066" s="36"/>
      <c r="B1066" s="36"/>
      <c r="C1066" s="36"/>
      <c r="D1066" s="36"/>
      <c r="E1066" s="36"/>
      <c r="F1066" s="36"/>
      <c r="G1066" s="36"/>
      <c r="H1066" s="36"/>
      <c r="I1066" s="36"/>
      <c r="J1066" s="36"/>
      <c r="K1066" s="36"/>
      <c r="L1066" s="36"/>
      <c r="M1066" s="36"/>
      <c r="N1066" s="36"/>
      <c r="O1066" s="36"/>
      <c r="P1066" s="36"/>
      <c r="Q1066" s="36"/>
      <c r="R1066" s="36"/>
      <c r="S1066" s="36"/>
      <c r="T1066" s="36"/>
      <c r="U1066" s="36"/>
      <c r="V1066" s="36"/>
      <c r="W1066" s="36"/>
      <c r="X1066" s="36"/>
      <c r="Y1066" s="36"/>
      <c r="Z1066" s="36"/>
      <c r="AA1066" s="36"/>
      <c r="AB1066" s="36"/>
      <c r="AC1066" s="36"/>
      <c r="AD1066" s="36"/>
      <c r="AE1066" s="36"/>
      <c r="AF1066" s="36"/>
      <c r="AG1066" s="36"/>
    </row>
    <row r="1067">
      <c r="A1067" s="36"/>
      <c r="B1067" s="36"/>
      <c r="C1067" s="36"/>
      <c r="D1067" s="36"/>
      <c r="E1067" s="36"/>
      <c r="F1067" s="36"/>
      <c r="G1067" s="36"/>
      <c r="H1067" s="36"/>
      <c r="I1067" s="36"/>
      <c r="J1067" s="36"/>
      <c r="K1067" s="36"/>
      <c r="L1067" s="36"/>
      <c r="M1067" s="36"/>
      <c r="N1067" s="36"/>
      <c r="O1067" s="36"/>
      <c r="P1067" s="36"/>
      <c r="Q1067" s="36"/>
      <c r="R1067" s="36"/>
      <c r="S1067" s="36"/>
      <c r="T1067" s="36"/>
      <c r="U1067" s="36"/>
      <c r="V1067" s="36"/>
      <c r="W1067" s="36"/>
      <c r="X1067" s="36"/>
      <c r="Y1067" s="36"/>
      <c r="Z1067" s="36"/>
      <c r="AA1067" s="36"/>
      <c r="AB1067" s="36"/>
      <c r="AC1067" s="36"/>
      <c r="AD1067" s="36"/>
      <c r="AE1067" s="36"/>
      <c r="AF1067" s="36"/>
      <c r="AG1067" s="36"/>
    </row>
    <row r="1068">
      <c r="A1068" s="36"/>
      <c r="B1068" s="36"/>
      <c r="C1068" s="36"/>
      <c r="D1068" s="36"/>
      <c r="E1068" s="36"/>
      <c r="F1068" s="36"/>
      <c r="G1068" s="36"/>
      <c r="H1068" s="36"/>
      <c r="I1068" s="36"/>
      <c r="J1068" s="36"/>
      <c r="K1068" s="36"/>
      <c r="L1068" s="36"/>
      <c r="M1068" s="36"/>
      <c r="N1068" s="36"/>
      <c r="O1068" s="36"/>
      <c r="P1068" s="36"/>
      <c r="Q1068" s="36"/>
      <c r="R1068" s="36"/>
      <c r="S1068" s="36"/>
      <c r="T1068" s="36"/>
      <c r="U1068" s="36"/>
      <c r="V1068" s="36"/>
      <c r="W1068" s="36"/>
      <c r="X1068" s="36"/>
      <c r="Y1068" s="36"/>
      <c r="Z1068" s="36"/>
      <c r="AA1068" s="36"/>
      <c r="AB1068" s="36"/>
      <c r="AC1068" s="36"/>
      <c r="AD1068" s="36"/>
      <c r="AE1068" s="36"/>
      <c r="AF1068" s="36"/>
      <c r="AG1068" s="36"/>
    </row>
    <row r="1069">
      <c r="A1069" s="36"/>
      <c r="B1069" s="36"/>
      <c r="C1069" s="3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  <c r="S1069" s="36"/>
      <c r="T1069" s="36"/>
      <c r="U1069" s="36"/>
      <c r="V1069" s="36"/>
      <c r="W1069" s="36"/>
      <c r="X1069" s="36"/>
      <c r="Y1069" s="36"/>
      <c r="Z1069" s="36"/>
      <c r="AA1069" s="36"/>
      <c r="AB1069" s="36"/>
      <c r="AC1069" s="36"/>
      <c r="AD1069" s="36"/>
      <c r="AE1069" s="36"/>
      <c r="AF1069" s="36"/>
      <c r="AG1069" s="36"/>
    </row>
    <row r="1070">
      <c r="A1070" s="36"/>
      <c r="B1070" s="36"/>
      <c r="C1070" s="36"/>
      <c r="D1070" s="36"/>
      <c r="E1070" s="36"/>
      <c r="F1070" s="36"/>
      <c r="G1070" s="36"/>
      <c r="H1070" s="36"/>
      <c r="I1070" s="36"/>
      <c r="J1070" s="36"/>
      <c r="K1070" s="36"/>
      <c r="L1070" s="36"/>
      <c r="M1070" s="36"/>
      <c r="N1070" s="36"/>
      <c r="O1070" s="36"/>
      <c r="P1070" s="36"/>
      <c r="Q1070" s="36"/>
      <c r="R1070" s="36"/>
      <c r="S1070" s="36"/>
      <c r="T1070" s="36"/>
      <c r="U1070" s="36"/>
      <c r="V1070" s="36"/>
      <c r="W1070" s="36"/>
      <c r="X1070" s="36"/>
      <c r="Y1070" s="36"/>
      <c r="Z1070" s="36"/>
      <c r="AA1070" s="36"/>
      <c r="AB1070" s="36"/>
      <c r="AC1070" s="36"/>
      <c r="AD1070" s="36"/>
      <c r="AE1070" s="36"/>
      <c r="AF1070" s="36"/>
      <c r="AG1070" s="36"/>
    </row>
    <row r="1071">
      <c r="A1071" s="36"/>
      <c r="B1071" s="36"/>
      <c r="C1071" s="36"/>
      <c r="D1071" s="36"/>
      <c r="E1071" s="36"/>
      <c r="F1071" s="36"/>
      <c r="G1071" s="36"/>
      <c r="H1071" s="36"/>
      <c r="I1071" s="36"/>
      <c r="J1071" s="36"/>
      <c r="K1071" s="36"/>
      <c r="L1071" s="36"/>
      <c r="M1071" s="36"/>
      <c r="N1071" s="36"/>
      <c r="O1071" s="36"/>
      <c r="P1071" s="36"/>
      <c r="Q1071" s="36"/>
      <c r="R1071" s="36"/>
      <c r="S1071" s="36"/>
      <c r="T1071" s="36"/>
      <c r="U1071" s="36"/>
      <c r="V1071" s="36"/>
      <c r="W1071" s="36"/>
      <c r="X1071" s="36"/>
      <c r="Y1071" s="36"/>
      <c r="Z1071" s="36"/>
      <c r="AA1071" s="36"/>
      <c r="AB1071" s="36"/>
      <c r="AC1071" s="36"/>
      <c r="AD1071" s="36"/>
      <c r="AE1071" s="36"/>
      <c r="AF1071" s="36"/>
      <c r="AG1071" s="36"/>
    </row>
    <row r="1072">
      <c r="A1072" s="36"/>
      <c r="B1072" s="36"/>
      <c r="C1072" s="36"/>
      <c r="D1072" s="36"/>
      <c r="E1072" s="36"/>
      <c r="F1072" s="36"/>
      <c r="G1072" s="36"/>
      <c r="H1072" s="36"/>
      <c r="I1072" s="36"/>
      <c r="J1072" s="36"/>
      <c r="K1072" s="36"/>
      <c r="L1072" s="36"/>
      <c r="M1072" s="36"/>
      <c r="N1072" s="36"/>
      <c r="O1072" s="36"/>
      <c r="P1072" s="36"/>
      <c r="Q1072" s="36"/>
      <c r="R1072" s="36"/>
      <c r="S1072" s="36"/>
      <c r="T1072" s="36"/>
      <c r="U1072" s="36"/>
      <c r="V1072" s="36"/>
      <c r="W1072" s="36"/>
      <c r="X1072" s="36"/>
      <c r="Y1072" s="36"/>
      <c r="Z1072" s="36"/>
      <c r="AA1072" s="36"/>
      <c r="AB1072" s="36"/>
      <c r="AC1072" s="36"/>
      <c r="AD1072" s="36"/>
      <c r="AE1072" s="36"/>
      <c r="AF1072" s="36"/>
      <c r="AG1072" s="36"/>
    </row>
    <row r="1073">
      <c r="A1073" s="36"/>
      <c r="B1073" s="36"/>
      <c r="C1073" s="3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  <c r="S1073" s="36"/>
      <c r="T1073" s="36"/>
      <c r="U1073" s="36"/>
      <c r="V1073" s="36"/>
      <c r="W1073" s="36"/>
      <c r="X1073" s="36"/>
      <c r="Y1073" s="36"/>
      <c r="Z1073" s="36"/>
      <c r="AA1073" s="36"/>
      <c r="AB1073" s="36"/>
      <c r="AC1073" s="36"/>
      <c r="AD1073" s="36"/>
      <c r="AE1073" s="36"/>
      <c r="AF1073" s="36"/>
      <c r="AG1073" s="36"/>
    </row>
    <row r="1074">
      <c r="A1074" s="36"/>
      <c r="B1074" s="36"/>
      <c r="C1074" s="36"/>
      <c r="D1074" s="36"/>
      <c r="E1074" s="36"/>
      <c r="F1074" s="36"/>
      <c r="G1074" s="36"/>
      <c r="H1074" s="36"/>
      <c r="I1074" s="36"/>
      <c r="J1074" s="36"/>
      <c r="K1074" s="36"/>
      <c r="L1074" s="36"/>
      <c r="M1074" s="36"/>
      <c r="N1074" s="36"/>
      <c r="O1074" s="36"/>
      <c r="P1074" s="36"/>
      <c r="Q1074" s="36"/>
      <c r="R1074" s="36"/>
      <c r="S1074" s="36"/>
      <c r="T1074" s="36"/>
      <c r="U1074" s="36"/>
      <c r="V1074" s="36"/>
      <c r="W1074" s="36"/>
      <c r="X1074" s="36"/>
      <c r="Y1074" s="36"/>
      <c r="Z1074" s="36"/>
      <c r="AA1074" s="36"/>
      <c r="AB1074" s="36"/>
      <c r="AC1074" s="36"/>
      <c r="AD1074" s="36"/>
      <c r="AE1074" s="36"/>
      <c r="AF1074" s="36"/>
      <c r="AG1074" s="36"/>
    </row>
    <row r="1075">
      <c r="A1075" s="36"/>
      <c r="B1075" s="36"/>
      <c r="C1075" s="36"/>
      <c r="D1075" s="36"/>
      <c r="E1075" s="36"/>
      <c r="F1075" s="36"/>
      <c r="G1075" s="36"/>
      <c r="H1075" s="36"/>
      <c r="I1075" s="36"/>
      <c r="J1075" s="36"/>
      <c r="K1075" s="36"/>
      <c r="L1075" s="36"/>
      <c r="M1075" s="36"/>
      <c r="N1075" s="36"/>
      <c r="O1075" s="36"/>
      <c r="P1075" s="36"/>
      <c r="Q1075" s="36"/>
      <c r="R1075" s="36"/>
      <c r="S1075" s="36"/>
      <c r="T1075" s="36"/>
      <c r="U1075" s="36"/>
      <c r="V1075" s="36"/>
      <c r="W1075" s="36"/>
      <c r="X1075" s="36"/>
      <c r="Y1075" s="36"/>
      <c r="Z1075" s="36"/>
      <c r="AA1075" s="36"/>
      <c r="AB1075" s="36"/>
      <c r="AC1075" s="36"/>
      <c r="AD1075" s="36"/>
      <c r="AE1075" s="36"/>
      <c r="AF1075" s="36"/>
      <c r="AG1075" s="36"/>
    </row>
    <row r="1076">
      <c r="A1076" s="36"/>
      <c r="B1076" s="36"/>
      <c r="C1076" s="36"/>
      <c r="D1076" s="36"/>
      <c r="E1076" s="36"/>
      <c r="F1076" s="36"/>
      <c r="G1076" s="36"/>
      <c r="H1076" s="36"/>
      <c r="I1076" s="36"/>
      <c r="J1076" s="36"/>
      <c r="K1076" s="36"/>
      <c r="L1076" s="36"/>
      <c r="M1076" s="36"/>
      <c r="N1076" s="36"/>
      <c r="O1076" s="36"/>
      <c r="P1076" s="36"/>
      <c r="Q1076" s="36"/>
      <c r="R1076" s="36"/>
      <c r="S1076" s="36"/>
      <c r="T1076" s="36"/>
      <c r="U1076" s="36"/>
      <c r="V1076" s="36"/>
      <c r="W1076" s="36"/>
      <c r="X1076" s="36"/>
      <c r="Y1076" s="36"/>
      <c r="Z1076" s="36"/>
      <c r="AA1076" s="36"/>
      <c r="AB1076" s="36"/>
      <c r="AC1076" s="36"/>
      <c r="AD1076" s="36"/>
      <c r="AE1076" s="36"/>
      <c r="AF1076" s="36"/>
      <c r="AG1076" s="36"/>
    </row>
    <row r="1077">
      <c r="A1077" s="36"/>
      <c r="B1077" s="36"/>
      <c r="C1077" s="3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  <c r="S1077" s="36"/>
      <c r="T1077" s="36"/>
      <c r="U1077" s="36"/>
      <c r="V1077" s="36"/>
      <c r="W1077" s="36"/>
      <c r="X1077" s="36"/>
      <c r="Y1077" s="36"/>
      <c r="Z1077" s="36"/>
      <c r="AA1077" s="36"/>
      <c r="AB1077" s="36"/>
      <c r="AC1077" s="36"/>
      <c r="AD1077" s="36"/>
      <c r="AE1077" s="36"/>
      <c r="AF1077" s="36"/>
      <c r="AG1077" s="36"/>
    </row>
    <row r="1078">
      <c r="A1078" s="36"/>
      <c r="B1078" s="36"/>
      <c r="C1078" s="36"/>
      <c r="D1078" s="36"/>
      <c r="E1078" s="36"/>
      <c r="F1078" s="36"/>
      <c r="G1078" s="36"/>
      <c r="H1078" s="36"/>
      <c r="I1078" s="36"/>
      <c r="J1078" s="36"/>
      <c r="K1078" s="36"/>
      <c r="L1078" s="36"/>
      <c r="M1078" s="36"/>
      <c r="N1078" s="36"/>
      <c r="O1078" s="36"/>
      <c r="P1078" s="36"/>
      <c r="Q1078" s="36"/>
      <c r="R1078" s="36"/>
      <c r="S1078" s="36"/>
      <c r="T1078" s="36"/>
      <c r="U1078" s="36"/>
      <c r="V1078" s="36"/>
      <c r="W1078" s="36"/>
      <c r="X1078" s="36"/>
      <c r="Y1078" s="36"/>
      <c r="Z1078" s="36"/>
      <c r="AA1078" s="36"/>
      <c r="AB1078" s="36"/>
      <c r="AC1078" s="36"/>
      <c r="AD1078" s="36"/>
      <c r="AE1078" s="36"/>
      <c r="AF1078" s="36"/>
      <c r="AG1078" s="36"/>
    </row>
    <row r="1079">
      <c r="A1079" s="36"/>
      <c r="B1079" s="36"/>
      <c r="C1079" s="36"/>
      <c r="D1079" s="36"/>
      <c r="E1079" s="36"/>
      <c r="F1079" s="36"/>
      <c r="G1079" s="36"/>
      <c r="H1079" s="36"/>
      <c r="I1079" s="36"/>
      <c r="J1079" s="36"/>
      <c r="K1079" s="36"/>
      <c r="L1079" s="36"/>
      <c r="M1079" s="36"/>
      <c r="N1079" s="36"/>
      <c r="O1079" s="36"/>
      <c r="P1079" s="36"/>
      <c r="Q1079" s="36"/>
      <c r="R1079" s="36"/>
      <c r="S1079" s="36"/>
      <c r="T1079" s="36"/>
      <c r="U1079" s="36"/>
      <c r="V1079" s="36"/>
      <c r="W1079" s="36"/>
      <c r="X1079" s="36"/>
      <c r="Y1079" s="36"/>
      <c r="Z1079" s="36"/>
      <c r="AA1079" s="36"/>
      <c r="AB1079" s="36"/>
      <c r="AC1079" s="36"/>
      <c r="AD1079" s="36"/>
      <c r="AE1079" s="36"/>
      <c r="AF1079" s="36"/>
      <c r="AG1079" s="36"/>
    </row>
  </sheetData>
  <hyperlinks>
    <hyperlink r:id="rId2" ref="B12"/>
    <hyperlink r:id="rId3" location="gid=320864130" ref="C181"/>
  </hyperlinks>
  <drawing r:id="rId4"/>
  <legacy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1" t="s">
        <v>465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>
      <c r="A2" s="36" t="s">
        <v>466</v>
      </c>
      <c r="B2" s="36"/>
      <c r="C2" s="36"/>
      <c r="D2" s="75" t="s">
        <v>467</v>
      </c>
      <c r="E2" s="36"/>
      <c r="F2" s="36"/>
      <c r="G2" s="36"/>
      <c r="H2" s="112" t="s">
        <v>468</v>
      </c>
      <c r="I2" s="36"/>
      <c r="J2" s="36"/>
      <c r="K2" s="36" t="s">
        <v>469</v>
      </c>
      <c r="L2" s="36"/>
      <c r="M2" s="36"/>
    </row>
    <row r="3">
      <c r="A3" s="36"/>
      <c r="B3" s="36"/>
      <c r="C3" s="36"/>
      <c r="D3" s="36"/>
      <c r="E3" s="36"/>
      <c r="F3" s="36"/>
      <c r="G3" s="36"/>
      <c r="H3" s="36"/>
      <c r="I3" s="36"/>
      <c r="J3" s="36"/>
      <c r="K3" s="36" t="s">
        <v>470</v>
      </c>
      <c r="L3" s="36"/>
      <c r="M3" s="36"/>
    </row>
    <row r="4">
      <c r="A4" s="113" t="s">
        <v>471</v>
      </c>
      <c r="B4" s="36"/>
      <c r="C4" s="36"/>
      <c r="D4" s="36"/>
      <c r="E4" s="36"/>
      <c r="F4" s="36"/>
      <c r="G4" s="36"/>
      <c r="H4" s="36" t="str">
        <f>CLUE_FORMATTER(UNBLANK(A4:A22),"…in which ~ (#)")</f>
        <v>one falls victim to the other’s cartoon tunnel prank</v>
      </c>
      <c r="I4" s="42">
        <v>16.0</v>
      </c>
      <c r="J4" s="36"/>
      <c r="K4" s="36"/>
      <c r="L4" s="36"/>
      <c r="M4" s="36"/>
    </row>
    <row r="5">
      <c r="A5" s="114"/>
      <c r="B5" s="36"/>
      <c r="C5" s="36"/>
      <c r="D5" s="36"/>
      <c r="E5" s="36"/>
      <c r="F5" s="36"/>
      <c r="G5" s="36"/>
      <c r="H5" s="36" t="s">
        <v>472</v>
      </c>
      <c r="I5" s="42">
        <v>2.0</v>
      </c>
      <c r="J5" s="36"/>
      <c r="K5" s="36" t="s">
        <v>473</v>
      </c>
      <c r="L5" s="36"/>
      <c r="M5" s="36"/>
    </row>
    <row r="6">
      <c r="A6" s="113" t="s">
        <v>474</v>
      </c>
      <c r="B6" s="36"/>
      <c r="C6" s="36"/>
      <c r="D6" s="36"/>
      <c r="E6" s="36"/>
      <c r="F6" s="36"/>
      <c r="G6" s="36"/>
      <c r="H6" s="36" t="s">
        <v>475</v>
      </c>
      <c r="I6" s="42">
        <v>7.0</v>
      </c>
      <c r="J6" s="36"/>
      <c r="K6" s="36"/>
      <c r="L6" s="36"/>
      <c r="M6" s="36"/>
    </row>
    <row r="7">
      <c r="A7" s="114"/>
      <c r="B7" s="36"/>
      <c r="C7" s="36"/>
      <c r="D7" s="36"/>
      <c r="E7" s="36"/>
      <c r="F7" s="36"/>
      <c r="G7" s="36"/>
      <c r="H7" s="36" t="s">
        <v>476</v>
      </c>
      <c r="I7" s="42">
        <v>1.0</v>
      </c>
      <c r="J7" s="36"/>
      <c r="K7" s="36"/>
      <c r="L7" s="36"/>
      <c r="M7" s="36"/>
    </row>
    <row r="8">
      <c r="A8" s="113" t="s">
        <v>477</v>
      </c>
      <c r="B8" s="36"/>
      <c r="C8" s="36"/>
      <c r="D8" s="36"/>
      <c r="E8" s="36"/>
      <c r="F8" s="36"/>
      <c r="G8" s="36"/>
      <c r="H8" s="36" t="s">
        <v>478</v>
      </c>
      <c r="I8" s="42">
        <v>13.0</v>
      </c>
      <c r="J8" s="36"/>
      <c r="K8" s="36"/>
      <c r="L8" s="36"/>
      <c r="M8" s="36"/>
    </row>
    <row r="9">
      <c r="A9" s="114"/>
      <c r="B9" s="36"/>
      <c r="C9" s="36"/>
      <c r="D9" s="36"/>
      <c r="E9" s="36"/>
      <c r="F9" s="36"/>
      <c r="G9" s="36"/>
      <c r="H9" s="36" t="s">
        <v>479</v>
      </c>
      <c r="I9" s="42">
        <v>7.0</v>
      </c>
      <c r="J9" s="36"/>
      <c r="K9" s="36"/>
      <c r="L9" s="36"/>
      <c r="M9" s="36"/>
    </row>
    <row r="10">
      <c r="A10" s="113" t="s">
        <v>480</v>
      </c>
      <c r="B10" s="36"/>
      <c r="C10" s="36"/>
      <c r="D10" s="36"/>
      <c r="E10" s="36"/>
      <c r="F10" s="36"/>
      <c r="G10" s="36"/>
      <c r="H10" s="36" t="s">
        <v>481</v>
      </c>
      <c r="I10" s="42">
        <v>5.0</v>
      </c>
      <c r="J10" s="36"/>
      <c r="K10" s="36"/>
      <c r="L10" s="36"/>
      <c r="M10" s="36"/>
    </row>
    <row r="11">
      <c r="A11" s="114"/>
      <c r="B11" s="36"/>
      <c r="C11" s="36"/>
      <c r="D11" s="36"/>
      <c r="E11" s="36"/>
      <c r="F11" s="36"/>
      <c r="G11" s="36"/>
      <c r="H11" s="36" t="s">
        <v>482</v>
      </c>
      <c r="I11" s="42">
        <v>5.0</v>
      </c>
      <c r="J11" s="36"/>
      <c r="K11" s="36"/>
      <c r="L11" s="36"/>
      <c r="M11" s="36"/>
    </row>
    <row r="12">
      <c r="A12" s="113" t="s">
        <v>483</v>
      </c>
      <c r="B12" s="36"/>
      <c r="C12" s="36"/>
      <c r="D12" s="36"/>
      <c r="E12" s="36"/>
      <c r="F12" s="36"/>
      <c r="G12" s="36"/>
      <c r="H12" s="36" t="s">
        <v>484</v>
      </c>
      <c r="I12" s="42">
        <v>3.0</v>
      </c>
      <c r="J12" s="36"/>
      <c r="K12" s="36"/>
      <c r="L12" s="36"/>
      <c r="M12" s="36"/>
    </row>
    <row r="13">
      <c r="A13" s="114"/>
      <c r="B13" s="36"/>
      <c r="C13" s="36"/>
      <c r="D13" s="36"/>
      <c r="E13" s="36"/>
      <c r="F13" s="36"/>
      <c r="G13" s="36"/>
      <c r="H13" s="36" t="s">
        <v>485</v>
      </c>
      <c r="I13" s="42">
        <v>4.0</v>
      </c>
      <c r="J13" s="36"/>
      <c r="K13" s="36"/>
      <c r="L13" s="36"/>
      <c r="M13" s="36"/>
    </row>
    <row r="14">
      <c r="A14" s="113" t="s">
        <v>486</v>
      </c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</row>
    <row r="15">
      <c r="A15" s="114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</row>
    <row r="16">
      <c r="A16" s="113" t="s">
        <v>487</v>
      </c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</row>
    <row r="17">
      <c r="A17" s="114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</row>
    <row r="18">
      <c r="A18" s="115" t="s">
        <v>488</v>
      </c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</row>
    <row r="19">
      <c r="A19" s="114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</row>
    <row r="20">
      <c r="A20" s="113" t="s">
        <v>489</v>
      </c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</row>
    <row r="21">
      <c r="A21" s="114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</row>
    <row r="22">
      <c r="A22" s="113" t="s">
        <v>490</v>
      </c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</row>
    <row r="23">
      <c r="A23" s="36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</row>
    <row r="24">
      <c r="A24" s="111" t="s">
        <v>491</v>
      </c>
      <c r="B24" s="36"/>
      <c r="C24" s="36"/>
      <c r="D24" s="36"/>
      <c r="E24" s="36"/>
      <c r="F24" s="36"/>
      <c r="G24" s="36"/>
      <c r="H24" s="112" t="s">
        <v>492</v>
      </c>
      <c r="I24" s="36"/>
      <c r="J24" s="36"/>
      <c r="K24" s="36"/>
      <c r="L24" s="36"/>
      <c r="M24" s="36"/>
    </row>
    <row r="25">
      <c r="A25" s="36" t="s">
        <v>493</v>
      </c>
      <c r="B25" s="36"/>
      <c r="C25" s="36"/>
      <c r="D25" s="75" t="s">
        <v>494</v>
      </c>
      <c r="E25" s="36"/>
      <c r="F25" s="36"/>
      <c r="G25" s="36"/>
      <c r="H25" s="36"/>
      <c r="I25" s="36"/>
      <c r="J25" s="36"/>
      <c r="K25" s="36"/>
      <c r="L25" s="36"/>
      <c r="M25" s="36"/>
    </row>
    <row r="26">
      <c r="A26" s="116" t="s">
        <v>495</v>
      </c>
      <c r="B26" s="36"/>
      <c r="C26" s="36"/>
      <c r="D26" s="36"/>
      <c r="E26" s="36"/>
      <c r="F26" s="36"/>
      <c r="G26" s="36" t="str">
        <f>CLUE_FORMATTER(A26:A72,"#. ~")</f>
        <v>Across</v>
      </c>
      <c r="H26" s="36"/>
      <c r="I26" s="36"/>
      <c r="J26" s="36"/>
      <c r="K26" s="36"/>
      <c r="L26" s="36"/>
      <c r="M26" s="36"/>
    </row>
    <row r="27">
      <c r="A27" s="117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</row>
    <row r="28">
      <c r="A28" s="116" t="s">
        <v>496</v>
      </c>
      <c r="B28" s="36"/>
      <c r="C28" s="36"/>
      <c r="D28" s="36"/>
      <c r="E28" s="36"/>
      <c r="F28" s="36"/>
      <c r="G28" s="42">
        <v>1.0</v>
      </c>
      <c r="H28" s="36" t="s">
        <v>497</v>
      </c>
      <c r="I28" s="36"/>
      <c r="J28" s="36"/>
      <c r="K28" s="36"/>
      <c r="L28" s="36"/>
      <c r="M28" s="36"/>
    </row>
    <row r="29">
      <c r="A29" s="116" t="s">
        <v>498</v>
      </c>
      <c r="B29" s="36"/>
      <c r="C29" s="36"/>
      <c r="D29" s="36"/>
      <c r="E29" s="36"/>
      <c r="F29" s="36"/>
      <c r="G29" s="42">
        <v>6.0</v>
      </c>
      <c r="H29" s="36" t="s">
        <v>499</v>
      </c>
      <c r="I29" s="36"/>
      <c r="J29" s="36"/>
      <c r="K29" s="36"/>
      <c r="L29" s="36"/>
      <c r="M29" s="36"/>
    </row>
    <row r="30">
      <c r="A30" s="116" t="s">
        <v>500</v>
      </c>
      <c r="B30" s="36"/>
      <c r="C30" s="36"/>
      <c r="D30" s="36"/>
      <c r="E30" s="36"/>
      <c r="F30" s="36"/>
      <c r="G30" s="42">
        <v>9.0</v>
      </c>
      <c r="H30" s="36" t="s">
        <v>501</v>
      </c>
      <c r="I30" s="36"/>
      <c r="J30" s="36"/>
      <c r="K30" s="36"/>
      <c r="L30" s="36"/>
      <c r="M30" s="36"/>
    </row>
    <row r="31">
      <c r="A31" s="118" t="s">
        <v>502</v>
      </c>
      <c r="B31" s="36"/>
      <c r="C31" s="36"/>
      <c r="D31" s="36"/>
      <c r="E31" s="36"/>
      <c r="F31" s="36"/>
      <c r="G31" s="42">
        <v>10.0</v>
      </c>
      <c r="H31" s="36" t="s">
        <v>503</v>
      </c>
      <c r="I31" s="36"/>
      <c r="J31" s="36"/>
      <c r="K31" s="36"/>
      <c r="L31" s="36"/>
      <c r="M31" s="36"/>
    </row>
    <row r="32">
      <c r="A32" s="118" t="s">
        <v>504</v>
      </c>
      <c r="B32" s="36"/>
      <c r="C32" s="36"/>
      <c r="D32" s="36"/>
      <c r="E32" s="36"/>
      <c r="F32" s="36"/>
      <c r="G32" s="42">
        <v>12.0</v>
      </c>
      <c r="H32" s="36" t="s">
        <v>505</v>
      </c>
      <c r="I32" s="36"/>
      <c r="J32" s="36"/>
      <c r="K32" s="36"/>
      <c r="L32" s="36"/>
      <c r="M32" s="36"/>
    </row>
    <row r="33">
      <c r="A33" s="118" t="s">
        <v>506</v>
      </c>
      <c r="B33" s="36"/>
      <c r="C33" s="36"/>
      <c r="D33" s="36"/>
      <c r="E33" s="36"/>
      <c r="F33" s="36"/>
      <c r="G33" s="42">
        <v>13.0</v>
      </c>
      <c r="H33" s="36" t="s">
        <v>507</v>
      </c>
      <c r="I33" s="36"/>
      <c r="J33" s="36"/>
      <c r="K33" s="36"/>
      <c r="L33" s="36"/>
      <c r="M33" s="36"/>
    </row>
    <row r="34">
      <c r="A34" s="118" t="s">
        <v>508</v>
      </c>
      <c r="B34" s="36"/>
      <c r="C34" s="36"/>
      <c r="D34" s="36"/>
      <c r="E34" s="36"/>
      <c r="F34" s="36"/>
      <c r="G34" s="42">
        <v>15.0</v>
      </c>
      <c r="H34" s="36" t="s">
        <v>509</v>
      </c>
      <c r="I34" s="36"/>
      <c r="J34" s="36"/>
      <c r="K34" s="36"/>
      <c r="L34" s="36"/>
      <c r="M34" s="36"/>
    </row>
    <row r="35">
      <c r="A35" s="118" t="s">
        <v>510</v>
      </c>
      <c r="B35" s="36"/>
      <c r="C35" s="36"/>
      <c r="D35" s="36"/>
      <c r="E35" s="36"/>
      <c r="F35" s="36"/>
      <c r="G35" s="42">
        <v>17.0</v>
      </c>
      <c r="H35" s="36" t="s">
        <v>511</v>
      </c>
      <c r="I35" s="36"/>
      <c r="J35" s="36"/>
      <c r="K35" s="36"/>
      <c r="L35" s="36"/>
      <c r="M35" s="36"/>
    </row>
    <row r="36">
      <c r="A36" s="118" t="s">
        <v>512</v>
      </c>
      <c r="B36" s="36"/>
      <c r="C36" s="36"/>
      <c r="D36" s="36"/>
      <c r="E36" s="36"/>
      <c r="F36" s="36"/>
      <c r="G36" s="42">
        <v>18.0</v>
      </c>
      <c r="H36" s="36" t="s">
        <v>513</v>
      </c>
      <c r="I36" s="36"/>
      <c r="J36" s="36"/>
      <c r="K36" s="36"/>
      <c r="L36" s="36"/>
      <c r="M36" s="36"/>
    </row>
    <row r="37">
      <c r="A37" s="118" t="s">
        <v>514</v>
      </c>
      <c r="B37" s="36"/>
      <c r="C37" s="36"/>
      <c r="D37" s="36"/>
      <c r="E37" s="36"/>
      <c r="F37" s="36"/>
      <c r="G37" s="42">
        <v>20.0</v>
      </c>
      <c r="H37" s="36" t="s">
        <v>515</v>
      </c>
      <c r="I37" s="36"/>
      <c r="J37" s="36"/>
      <c r="K37" s="36"/>
      <c r="L37" s="36"/>
      <c r="M37" s="36"/>
    </row>
    <row r="38">
      <c r="A38" s="118" t="s">
        <v>516</v>
      </c>
      <c r="B38" s="36"/>
      <c r="C38" s="36"/>
      <c r="D38" s="36"/>
      <c r="E38" s="36"/>
      <c r="F38" s="36"/>
      <c r="G38" s="42">
        <v>23.0</v>
      </c>
      <c r="H38" s="36" t="s">
        <v>517</v>
      </c>
      <c r="I38" s="36"/>
      <c r="J38" s="36"/>
      <c r="K38" s="36"/>
      <c r="L38" s="36"/>
      <c r="M38" s="36"/>
    </row>
    <row r="39">
      <c r="A39" s="118" t="s">
        <v>518</v>
      </c>
      <c r="B39" s="36"/>
      <c r="C39" s="36"/>
      <c r="D39" s="36"/>
      <c r="E39" s="36"/>
      <c r="F39" s="36"/>
      <c r="G39" s="42">
        <v>24.0</v>
      </c>
      <c r="H39" s="36" t="s">
        <v>519</v>
      </c>
      <c r="I39" s="36"/>
      <c r="J39" s="36"/>
      <c r="K39" s="36"/>
      <c r="L39" s="36"/>
      <c r="M39" s="36"/>
    </row>
    <row r="40">
      <c r="A40" s="118" t="s">
        <v>520</v>
      </c>
      <c r="B40" s="36"/>
      <c r="C40" s="36"/>
      <c r="D40" s="36"/>
      <c r="E40" s="36"/>
      <c r="F40" s="36"/>
      <c r="G40" s="42">
        <v>25.0</v>
      </c>
      <c r="H40" s="36" t="s">
        <v>521</v>
      </c>
      <c r="I40" s="36"/>
      <c r="J40" s="36"/>
      <c r="K40" s="36"/>
      <c r="L40" s="36"/>
      <c r="M40" s="36"/>
    </row>
    <row r="41">
      <c r="A41" s="118" t="s">
        <v>522</v>
      </c>
      <c r="B41" s="36"/>
      <c r="C41" s="36"/>
      <c r="D41" s="36"/>
      <c r="E41" s="36"/>
      <c r="F41" s="36"/>
      <c r="G41" s="42">
        <v>28.0</v>
      </c>
      <c r="H41" s="36" t="s">
        <v>523</v>
      </c>
      <c r="I41" s="36"/>
      <c r="J41" s="36"/>
      <c r="K41" s="36"/>
      <c r="L41" s="36"/>
      <c r="M41" s="36"/>
    </row>
    <row r="42">
      <c r="A42" s="118" t="s">
        <v>524</v>
      </c>
      <c r="B42" s="36"/>
      <c r="C42" s="36"/>
      <c r="D42" s="36"/>
      <c r="E42" s="36"/>
      <c r="F42" s="36"/>
      <c r="G42" s="42">
        <v>29.0</v>
      </c>
      <c r="H42" s="36" t="s">
        <v>525</v>
      </c>
      <c r="I42" s="36"/>
      <c r="J42" s="36"/>
      <c r="K42" s="36"/>
      <c r="L42" s="36"/>
      <c r="M42" s="36"/>
    </row>
    <row r="43">
      <c r="A43" s="118" t="s">
        <v>526</v>
      </c>
      <c r="B43" s="36"/>
      <c r="C43" s="36"/>
      <c r="D43" s="36"/>
      <c r="E43" s="36"/>
      <c r="F43" s="36"/>
      <c r="G43" s="42">
        <v>33.0</v>
      </c>
      <c r="H43" s="36" t="s">
        <v>527</v>
      </c>
      <c r="I43" s="36"/>
      <c r="J43" s="36"/>
      <c r="K43" s="36"/>
      <c r="L43" s="36"/>
      <c r="M43" s="36"/>
    </row>
    <row r="44">
      <c r="A44" s="118" t="s">
        <v>528</v>
      </c>
      <c r="B44" s="36"/>
      <c r="C44" s="36"/>
      <c r="D44" s="36"/>
      <c r="E44" s="36"/>
      <c r="F44" s="36"/>
      <c r="G44" s="42">
        <v>35.0</v>
      </c>
      <c r="H44" s="36" t="s">
        <v>529</v>
      </c>
      <c r="I44" s="36"/>
      <c r="J44" s="36"/>
      <c r="K44" s="36"/>
      <c r="L44" s="36"/>
      <c r="M44" s="36"/>
    </row>
    <row r="45">
      <c r="A45" s="118" t="s">
        <v>530</v>
      </c>
      <c r="B45" s="36"/>
      <c r="C45" s="36"/>
      <c r="D45" s="36"/>
      <c r="E45" s="36"/>
      <c r="F45" s="36"/>
      <c r="G45" s="42">
        <v>36.0</v>
      </c>
      <c r="H45" s="36" t="s">
        <v>531</v>
      </c>
      <c r="I45" s="36"/>
      <c r="J45" s="36"/>
      <c r="K45" s="36"/>
      <c r="L45" s="36"/>
      <c r="M45" s="36"/>
    </row>
    <row r="46">
      <c r="A46" s="118" t="s">
        <v>532</v>
      </c>
      <c r="B46" s="36"/>
      <c r="C46" s="36"/>
      <c r="D46" s="36"/>
      <c r="E46" s="36"/>
      <c r="F46" s="36"/>
      <c r="G46" s="42">
        <v>37.0</v>
      </c>
      <c r="H46" s="36" t="s">
        <v>533</v>
      </c>
      <c r="I46" s="36"/>
      <c r="J46" s="36"/>
      <c r="K46" s="36"/>
      <c r="L46" s="36"/>
      <c r="M46" s="36"/>
    </row>
    <row r="47">
      <c r="A47" s="118" t="s">
        <v>534</v>
      </c>
      <c r="B47" s="36"/>
      <c r="C47" s="36"/>
      <c r="D47" s="36"/>
      <c r="E47" s="36"/>
      <c r="F47" s="36"/>
      <c r="G47" s="42">
        <v>38.0</v>
      </c>
      <c r="H47" s="36" t="s">
        <v>535</v>
      </c>
      <c r="I47" s="36"/>
      <c r="J47" s="36"/>
      <c r="K47" s="36"/>
      <c r="L47" s="36"/>
      <c r="M47" s="36"/>
    </row>
    <row r="48">
      <c r="A48" s="118" t="s">
        <v>536</v>
      </c>
      <c r="B48" s="36"/>
      <c r="C48" s="36"/>
      <c r="D48" s="36"/>
      <c r="E48" s="36"/>
      <c r="F48" s="36"/>
      <c r="G48" s="42">
        <v>39.0</v>
      </c>
      <c r="H48" s="36" t="s">
        <v>537</v>
      </c>
      <c r="I48" s="36"/>
      <c r="J48" s="36"/>
      <c r="K48" s="36"/>
      <c r="L48" s="36"/>
      <c r="M48" s="36"/>
    </row>
    <row r="49">
      <c r="A49" s="117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</row>
    <row r="50">
      <c r="A50" s="116" t="s">
        <v>538</v>
      </c>
      <c r="B50" s="36"/>
      <c r="C50" s="36"/>
      <c r="D50" s="36"/>
      <c r="E50" s="36"/>
      <c r="F50" s="36"/>
      <c r="G50" s="36" t="s">
        <v>538</v>
      </c>
      <c r="H50" s="36"/>
      <c r="I50" s="36"/>
      <c r="J50" s="36"/>
      <c r="K50" s="36"/>
      <c r="L50" s="36"/>
      <c r="M50" s="36"/>
    </row>
    <row r="51">
      <c r="A51" s="117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</row>
    <row r="52">
      <c r="A52" s="116" t="s">
        <v>539</v>
      </c>
      <c r="B52" s="36"/>
      <c r="C52" s="36"/>
      <c r="D52" s="36"/>
      <c r="E52" s="36"/>
      <c r="F52" s="36"/>
      <c r="G52" s="42">
        <v>1.0</v>
      </c>
      <c r="H52" s="36" t="s">
        <v>540</v>
      </c>
      <c r="I52" s="36"/>
      <c r="J52" s="36"/>
      <c r="K52" s="36"/>
      <c r="L52" s="36"/>
      <c r="M52" s="36"/>
    </row>
    <row r="53">
      <c r="A53" s="116" t="s">
        <v>541</v>
      </c>
      <c r="B53" s="36"/>
      <c r="C53" s="36"/>
      <c r="D53" s="36"/>
      <c r="E53" s="36"/>
      <c r="F53" s="36"/>
      <c r="G53" s="42">
        <v>2.0</v>
      </c>
      <c r="H53" s="36" t="s">
        <v>542</v>
      </c>
      <c r="I53" s="36"/>
      <c r="J53" s="36"/>
      <c r="K53" s="36"/>
      <c r="L53" s="36"/>
      <c r="M53" s="36"/>
    </row>
    <row r="54">
      <c r="A54" s="116" t="s">
        <v>543</v>
      </c>
      <c r="B54" s="36"/>
      <c r="C54" s="36"/>
      <c r="D54" s="36"/>
      <c r="E54" s="36"/>
      <c r="F54" s="36"/>
      <c r="G54" s="42">
        <v>3.0</v>
      </c>
      <c r="H54" s="36" t="s">
        <v>544</v>
      </c>
      <c r="I54" s="36"/>
      <c r="J54" s="36"/>
      <c r="K54" s="36"/>
      <c r="L54" s="36"/>
      <c r="M54" s="36"/>
    </row>
    <row r="55">
      <c r="A55" s="116" t="s">
        <v>545</v>
      </c>
      <c r="B55" s="36"/>
      <c r="C55" s="36"/>
      <c r="D55" s="36"/>
      <c r="E55" s="36"/>
      <c r="F55" s="36"/>
      <c r="G55" s="42">
        <v>4.0</v>
      </c>
      <c r="H55" s="36" t="s">
        <v>546</v>
      </c>
      <c r="I55" s="36"/>
      <c r="J55" s="36"/>
      <c r="K55" s="36"/>
      <c r="L55" s="36"/>
      <c r="M55" s="36"/>
    </row>
    <row r="56">
      <c r="A56" s="116" t="s">
        <v>547</v>
      </c>
      <c r="B56" s="36"/>
      <c r="C56" s="36"/>
      <c r="D56" s="36"/>
      <c r="E56" s="36"/>
      <c r="F56" s="36"/>
      <c r="G56" s="42">
        <v>5.0</v>
      </c>
      <c r="H56" s="36" t="s">
        <v>548</v>
      </c>
      <c r="I56" s="36"/>
      <c r="J56" s="36"/>
      <c r="K56" s="36"/>
      <c r="L56" s="36"/>
      <c r="M56" s="36"/>
    </row>
    <row r="57">
      <c r="A57" s="116" t="s">
        <v>549</v>
      </c>
      <c r="B57" s="36"/>
      <c r="C57" s="36"/>
      <c r="D57" s="36"/>
      <c r="E57" s="36"/>
      <c r="F57" s="36"/>
      <c r="G57" s="42">
        <v>6.0</v>
      </c>
      <c r="H57" s="36" t="s">
        <v>550</v>
      </c>
      <c r="I57" s="36"/>
      <c r="J57" s="36"/>
      <c r="K57" s="36"/>
      <c r="L57" s="36"/>
      <c r="M57" s="36"/>
    </row>
    <row r="58">
      <c r="A58" s="116" t="s">
        <v>551</v>
      </c>
      <c r="B58" s="36"/>
      <c r="C58" s="36"/>
      <c r="D58" s="36"/>
      <c r="E58" s="36"/>
      <c r="F58" s="36"/>
      <c r="G58" s="42">
        <v>7.0</v>
      </c>
      <c r="H58" s="36" t="s">
        <v>552</v>
      </c>
      <c r="I58" s="36"/>
      <c r="J58" s="36"/>
      <c r="K58" s="36"/>
      <c r="L58" s="36"/>
      <c r="M58" s="36"/>
    </row>
    <row r="59">
      <c r="A59" s="116" t="s">
        <v>553</v>
      </c>
      <c r="B59" s="36"/>
      <c r="C59" s="36"/>
      <c r="D59" s="36"/>
      <c r="E59" s="36"/>
      <c r="F59" s="36"/>
      <c r="G59" s="42">
        <v>8.0</v>
      </c>
      <c r="H59" s="36" t="s">
        <v>554</v>
      </c>
      <c r="I59" s="36"/>
      <c r="J59" s="36"/>
      <c r="K59" s="36"/>
      <c r="L59" s="36"/>
      <c r="M59" s="36"/>
    </row>
    <row r="60">
      <c r="A60" s="116" t="s">
        <v>555</v>
      </c>
      <c r="B60" s="36"/>
      <c r="C60" s="36"/>
      <c r="D60" s="36"/>
      <c r="E60" s="36"/>
      <c r="F60" s="36"/>
      <c r="G60" s="42">
        <v>11.0</v>
      </c>
      <c r="H60" s="36" t="s">
        <v>556</v>
      </c>
      <c r="I60" s="36"/>
      <c r="J60" s="36"/>
      <c r="K60" s="36"/>
      <c r="L60" s="36"/>
      <c r="M60" s="36"/>
    </row>
    <row r="61">
      <c r="A61" s="116" t="s">
        <v>557</v>
      </c>
      <c r="B61" s="36"/>
      <c r="C61" s="36"/>
      <c r="D61" s="36"/>
      <c r="E61" s="36"/>
      <c r="F61" s="36"/>
      <c r="G61" s="42">
        <v>14.0</v>
      </c>
      <c r="H61" s="36" t="s">
        <v>558</v>
      </c>
      <c r="I61" s="36"/>
      <c r="J61" s="36"/>
      <c r="K61" s="36"/>
      <c r="L61" s="36"/>
      <c r="M61" s="36"/>
    </row>
    <row r="62">
      <c r="A62" s="116" t="s">
        <v>559</v>
      </c>
      <c r="B62" s="36"/>
      <c r="C62" s="36"/>
      <c r="D62" s="36"/>
      <c r="E62" s="36"/>
      <c r="F62" s="36"/>
      <c r="G62" s="42">
        <v>16.0</v>
      </c>
      <c r="H62" s="36" t="s">
        <v>560</v>
      </c>
      <c r="I62" s="36"/>
      <c r="J62" s="36"/>
      <c r="K62" s="36"/>
      <c r="L62" s="36"/>
      <c r="M62" s="36"/>
    </row>
    <row r="63">
      <c r="A63" s="116" t="s">
        <v>561</v>
      </c>
      <c r="B63" s="36"/>
      <c r="C63" s="36"/>
      <c r="D63" s="36"/>
      <c r="E63" s="36"/>
      <c r="F63" s="36"/>
      <c r="G63" s="42">
        <v>19.0</v>
      </c>
      <c r="H63" s="36" t="s">
        <v>562</v>
      </c>
      <c r="I63" s="36"/>
      <c r="J63" s="36"/>
      <c r="K63" s="36"/>
      <c r="L63" s="36"/>
      <c r="M63" s="36"/>
    </row>
    <row r="64">
      <c r="A64" s="116" t="s">
        <v>563</v>
      </c>
      <c r="B64" s="36"/>
      <c r="C64" s="36"/>
      <c r="D64" s="36"/>
      <c r="E64" s="36"/>
      <c r="F64" s="36"/>
      <c r="G64" s="42">
        <v>20.0</v>
      </c>
      <c r="H64" s="36" t="s">
        <v>564</v>
      </c>
      <c r="I64" s="36"/>
      <c r="J64" s="36"/>
      <c r="K64" s="36"/>
      <c r="L64" s="36"/>
      <c r="M64" s="36"/>
    </row>
    <row r="65">
      <c r="A65" s="116" t="s">
        <v>565</v>
      </c>
      <c r="B65" s="36"/>
      <c r="C65" s="36"/>
      <c r="D65" s="36"/>
      <c r="E65" s="36"/>
      <c r="F65" s="36"/>
      <c r="G65" s="42">
        <v>21.0</v>
      </c>
      <c r="H65" s="36" t="s">
        <v>566</v>
      </c>
      <c r="I65" s="36"/>
      <c r="J65" s="36"/>
      <c r="K65" s="36"/>
      <c r="L65" s="36"/>
      <c r="M65" s="36"/>
    </row>
    <row r="66">
      <c r="A66" s="116" t="s">
        <v>567</v>
      </c>
      <c r="B66" s="36"/>
      <c r="C66" s="36"/>
      <c r="D66" s="36"/>
      <c r="E66" s="36"/>
      <c r="F66" s="36"/>
      <c r="G66" s="42">
        <v>22.0</v>
      </c>
      <c r="H66" s="36" t="s">
        <v>568</v>
      </c>
      <c r="I66" s="36"/>
      <c r="J66" s="36"/>
      <c r="K66" s="36"/>
      <c r="L66" s="36"/>
      <c r="M66" s="36"/>
    </row>
    <row r="67">
      <c r="A67" s="116" t="s">
        <v>569</v>
      </c>
      <c r="B67" s="36"/>
      <c r="C67" s="36"/>
      <c r="D67" s="36"/>
      <c r="E67" s="36"/>
      <c r="F67" s="36"/>
      <c r="G67" s="42">
        <v>26.0</v>
      </c>
      <c r="H67" s="36" t="s">
        <v>570</v>
      </c>
      <c r="I67" s="36"/>
      <c r="J67" s="36"/>
      <c r="K67" s="36"/>
      <c r="L67" s="36"/>
      <c r="M67" s="36"/>
    </row>
    <row r="68">
      <c r="A68" s="116" t="s">
        <v>571</v>
      </c>
      <c r="B68" s="36"/>
      <c r="C68" s="36"/>
      <c r="D68" s="36"/>
      <c r="E68" s="36"/>
      <c r="F68" s="36"/>
      <c r="G68" s="42">
        <v>27.0</v>
      </c>
      <c r="H68" s="36" t="s">
        <v>572</v>
      </c>
      <c r="I68" s="36"/>
      <c r="J68" s="36"/>
      <c r="K68" s="36"/>
      <c r="L68" s="36"/>
      <c r="M68" s="36"/>
    </row>
    <row r="69">
      <c r="A69" s="116" t="s">
        <v>573</v>
      </c>
      <c r="B69" s="36"/>
      <c r="C69" s="36"/>
      <c r="D69" s="36"/>
      <c r="E69" s="36"/>
      <c r="F69" s="36"/>
      <c r="G69" s="42">
        <v>30.0</v>
      </c>
      <c r="H69" s="36" t="s">
        <v>574</v>
      </c>
      <c r="I69" s="36"/>
      <c r="J69" s="36"/>
      <c r="K69" s="36"/>
      <c r="L69" s="36"/>
      <c r="M69" s="36"/>
    </row>
    <row r="70">
      <c r="A70" s="116" t="s">
        <v>575</v>
      </c>
      <c r="B70" s="36"/>
      <c r="C70" s="36"/>
      <c r="D70" s="36"/>
      <c r="E70" s="36"/>
      <c r="F70" s="36"/>
      <c r="G70" s="42">
        <v>31.0</v>
      </c>
      <c r="H70" s="36" t="s">
        <v>576</v>
      </c>
      <c r="I70" s="36"/>
      <c r="J70" s="36"/>
      <c r="K70" s="36"/>
      <c r="L70" s="36"/>
      <c r="M70" s="36"/>
    </row>
    <row r="71">
      <c r="A71" s="116" t="s">
        <v>577</v>
      </c>
      <c r="B71" s="36"/>
      <c r="C71" s="36"/>
      <c r="D71" s="36"/>
      <c r="E71" s="36"/>
      <c r="F71" s="36"/>
      <c r="G71" s="42">
        <v>32.0</v>
      </c>
      <c r="H71" s="36" t="s">
        <v>578</v>
      </c>
      <c r="I71" s="36"/>
      <c r="J71" s="36"/>
      <c r="K71" s="36"/>
      <c r="L71" s="36"/>
      <c r="M71" s="36"/>
    </row>
    <row r="72">
      <c r="A72" s="118" t="s">
        <v>579</v>
      </c>
      <c r="B72" s="36"/>
      <c r="C72" s="36"/>
      <c r="D72" s="36"/>
      <c r="E72" s="36"/>
      <c r="F72" s="36"/>
      <c r="G72" s="42">
        <v>34.0</v>
      </c>
      <c r="H72" s="36" t="s">
        <v>580</v>
      </c>
      <c r="I72" s="36"/>
      <c r="J72" s="36"/>
      <c r="K72" s="36"/>
      <c r="L72" s="36"/>
      <c r="M72" s="36"/>
    </row>
    <row r="73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</row>
    <row r="74">
      <c r="A74" s="111" t="s">
        <v>581</v>
      </c>
      <c r="B74" s="36" t="s">
        <v>582</v>
      </c>
      <c r="C74" s="36"/>
      <c r="D74" s="75" t="s">
        <v>583</v>
      </c>
      <c r="E74" s="36"/>
      <c r="F74" s="36"/>
      <c r="G74" s="36"/>
      <c r="H74" s="112" t="s">
        <v>584</v>
      </c>
      <c r="I74" s="36"/>
      <c r="J74" s="36"/>
      <c r="K74" s="36" t="s">
        <v>585</v>
      </c>
      <c r="L74" s="36"/>
      <c r="M74" s="36"/>
    </row>
    <row r="75">
      <c r="A75" s="119" t="s">
        <v>586</v>
      </c>
      <c r="B75" s="36"/>
      <c r="C75" s="36"/>
      <c r="D75" s="36"/>
      <c r="E75" s="36"/>
      <c r="F75" s="36"/>
      <c r="G75" s="36"/>
      <c r="H75" s="36" t="str">
        <f>CLUE_FORMATTER(UNBLANK(A75:A107),"~ (#)")</f>
        <v>Auo ae o Ea</v>
      </c>
      <c r="I75" s="42">
        <v>6.0</v>
      </c>
      <c r="J75" s="36"/>
      <c r="K75" s="36"/>
      <c r="L75" s="36"/>
      <c r="M75" s="36"/>
    </row>
    <row r="76">
      <c r="A76" s="120"/>
      <c r="B76" s="36"/>
      <c r="C76" s="36"/>
      <c r="D76" s="36"/>
      <c r="E76" s="36"/>
      <c r="F76" s="36"/>
      <c r="G76" s="36"/>
      <c r="H76" s="36" t="s">
        <v>587</v>
      </c>
      <c r="I76" s="42">
        <v>10.0</v>
      </c>
      <c r="J76" s="36"/>
      <c r="K76" s="36"/>
      <c r="L76" s="36"/>
      <c r="M76" s="36"/>
    </row>
    <row r="77">
      <c r="A77" s="121" t="s">
        <v>588</v>
      </c>
      <c r="B77" s="36"/>
      <c r="C77" s="36"/>
      <c r="D77" s="36"/>
      <c r="E77" s="36"/>
      <c r="F77" s="36"/>
      <c r="G77" s="36"/>
      <c r="H77" s="36" t="s">
        <v>589</v>
      </c>
      <c r="I77" s="42">
        <v>8.0</v>
      </c>
      <c r="J77" s="36"/>
      <c r="K77" s="36"/>
      <c r="L77" s="36"/>
      <c r="M77" s="36"/>
    </row>
    <row r="78">
      <c r="A78" s="120"/>
      <c r="B78" s="36"/>
      <c r="C78" s="36"/>
      <c r="D78" s="36"/>
      <c r="E78" s="36"/>
      <c r="F78" s="36"/>
      <c r="G78" s="36"/>
      <c r="H78" s="36" t="s">
        <v>590</v>
      </c>
      <c r="I78" s="42">
        <v>9.0</v>
      </c>
      <c r="J78" s="36"/>
      <c r="K78" s="36"/>
      <c r="L78" s="36"/>
      <c r="M78" s="36"/>
    </row>
    <row r="79">
      <c r="A79" s="121" t="s">
        <v>591</v>
      </c>
      <c r="B79" s="36"/>
      <c r="C79" s="36"/>
      <c r="D79" s="36"/>
      <c r="E79" s="36"/>
      <c r="F79" s="36"/>
      <c r="G79" s="36"/>
      <c r="H79" s="36" t="s">
        <v>592</v>
      </c>
      <c r="I79" s="42">
        <v>8.0</v>
      </c>
      <c r="J79" s="36"/>
      <c r="K79" s="36"/>
      <c r="L79" s="36"/>
      <c r="M79" s="36"/>
    </row>
    <row r="80">
      <c r="A80" s="120"/>
      <c r="B80" s="36"/>
      <c r="C80" s="36"/>
      <c r="D80" s="36"/>
      <c r="E80" s="36"/>
      <c r="F80" s="36"/>
      <c r="G80" s="36"/>
      <c r="H80" s="36" t="s">
        <v>593</v>
      </c>
      <c r="I80" s="42">
        <v>7.0</v>
      </c>
      <c r="J80" s="36"/>
      <c r="K80" s="36"/>
      <c r="L80" s="36"/>
      <c r="M80" s="36"/>
    </row>
    <row r="81">
      <c r="A81" s="121" t="s">
        <v>594</v>
      </c>
      <c r="B81" s="36"/>
      <c r="C81" s="36"/>
      <c r="D81" s="36"/>
      <c r="E81" s="36"/>
      <c r="F81" s="36"/>
      <c r="G81" s="36"/>
      <c r="H81" s="36" t="s">
        <v>595</v>
      </c>
      <c r="I81" s="42">
        <v>6.0</v>
      </c>
      <c r="J81" s="36"/>
      <c r="K81" s="36"/>
      <c r="L81" s="36"/>
      <c r="M81" s="36"/>
    </row>
    <row r="82">
      <c r="A82" s="120"/>
      <c r="B82" s="36"/>
      <c r="C82" s="36"/>
      <c r="D82" s="36"/>
      <c r="E82" s="36"/>
      <c r="F82" s="36"/>
      <c r="G82" s="36"/>
      <c r="H82" s="36" t="s">
        <v>596</v>
      </c>
      <c r="I82" s="42">
        <v>7.0</v>
      </c>
      <c r="J82" s="36"/>
      <c r="K82" s="36"/>
      <c r="L82" s="36"/>
      <c r="M82" s="36"/>
    </row>
    <row r="83">
      <c r="A83" s="121" t="s">
        <v>597</v>
      </c>
      <c r="B83" s="36"/>
      <c r="C83" s="36"/>
      <c r="D83" s="36"/>
      <c r="E83" s="36"/>
      <c r="F83" s="36"/>
      <c r="G83" s="36"/>
      <c r="H83" s="36" t="s">
        <v>598</v>
      </c>
      <c r="I83" s="42">
        <v>8.0</v>
      </c>
      <c r="J83" s="36"/>
      <c r="K83" s="36"/>
      <c r="L83" s="36"/>
      <c r="M83" s="36"/>
    </row>
    <row r="84">
      <c r="A84" s="120"/>
      <c r="B84" s="36"/>
      <c r="C84" s="36"/>
      <c r="D84" s="36"/>
      <c r="E84" s="36"/>
      <c r="F84" s="36"/>
      <c r="G84" s="36"/>
      <c r="H84" s="36" t="s">
        <v>599</v>
      </c>
      <c r="I84" s="42">
        <v>6.0</v>
      </c>
      <c r="J84" s="36"/>
      <c r="K84" s="36"/>
      <c r="L84" s="36"/>
      <c r="M84" s="36"/>
    </row>
    <row r="85">
      <c r="A85" s="119" t="s">
        <v>600</v>
      </c>
      <c r="B85" s="36"/>
      <c r="C85" s="36"/>
      <c r="D85" s="36"/>
      <c r="E85" s="36"/>
      <c r="F85" s="36"/>
      <c r="G85" s="36"/>
      <c r="H85" s="36" t="s">
        <v>601</v>
      </c>
      <c r="I85" s="42">
        <v>9.0</v>
      </c>
      <c r="J85" s="36"/>
      <c r="K85" s="36"/>
      <c r="L85" s="36"/>
      <c r="M85" s="36"/>
    </row>
    <row r="86">
      <c r="A86" s="120"/>
      <c r="B86" s="36"/>
      <c r="C86" s="36"/>
      <c r="D86" s="36"/>
      <c r="E86" s="36"/>
      <c r="F86" s="36"/>
      <c r="G86" s="36"/>
      <c r="H86" s="36" t="s">
        <v>602</v>
      </c>
      <c r="I86" s="42">
        <v>3.0</v>
      </c>
      <c r="J86" s="36"/>
      <c r="K86" s="36"/>
      <c r="L86" s="36"/>
      <c r="M86" s="36"/>
    </row>
    <row r="87">
      <c r="A87" s="121" t="s">
        <v>603</v>
      </c>
      <c r="B87" s="36"/>
      <c r="C87" s="36"/>
      <c r="D87" s="36"/>
      <c r="E87" s="36"/>
      <c r="F87" s="36"/>
      <c r="G87" s="36"/>
      <c r="H87" s="36" t="s">
        <v>604</v>
      </c>
      <c r="I87" s="42">
        <v>10.0</v>
      </c>
      <c r="J87" s="36"/>
      <c r="K87" s="36"/>
      <c r="L87" s="36"/>
      <c r="M87" s="36"/>
    </row>
    <row r="88">
      <c r="A88" s="120"/>
      <c r="B88" s="36"/>
      <c r="C88" s="36"/>
      <c r="D88" s="36"/>
      <c r="E88" s="36"/>
      <c r="F88" s="36"/>
      <c r="G88" s="36"/>
      <c r="H88" s="36" t="s">
        <v>605</v>
      </c>
      <c r="I88" s="42">
        <v>3.0</v>
      </c>
      <c r="J88" s="36"/>
      <c r="K88" s="36"/>
      <c r="L88" s="36"/>
      <c r="M88" s="36"/>
    </row>
    <row r="89">
      <c r="A89" s="121" t="s">
        <v>606</v>
      </c>
      <c r="B89" s="36"/>
      <c r="C89" s="36"/>
      <c r="D89" s="36"/>
      <c r="E89" s="36"/>
      <c r="F89" s="36"/>
      <c r="G89" s="36"/>
      <c r="H89" s="36" t="s">
        <v>607</v>
      </c>
      <c r="I89" s="42">
        <v>5.0</v>
      </c>
      <c r="J89" s="36"/>
      <c r="K89" s="36"/>
      <c r="L89" s="36"/>
      <c r="M89" s="36"/>
    </row>
    <row r="90">
      <c r="A90" s="120"/>
      <c r="B90" s="36"/>
      <c r="C90" s="36"/>
      <c r="D90" s="36"/>
      <c r="E90" s="36"/>
      <c r="F90" s="36"/>
      <c r="G90" s="36"/>
      <c r="H90" s="36" t="s">
        <v>608</v>
      </c>
      <c r="I90" s="42">
        <v>7.0</v>
      </c>
      <c r="J90" s="36"/>
      <c r="K90" s="36"/>
      <c r="L90" s="36"/>
      <c r="M90" s="36"/>
    </row>
    <row r="91">
      <c r="A91" s="121" t="s">
        <v>609</v>
      </c>
      <c r="B91" s="36"/>
      <c r="C91" s="36"/>
      <c r="D91" s="36"/>
      <c r="E91" s="36"/>
      <c r="F91" s="36"/>
      <c r="G91" s="36"/>
      <c r="H91" s="36" t="s">
        <v>610</v>
      </c>
      <c r="I91" s="42">
        <v>3.0</v>
      </c>
      <c r="J91" s="36"/>
      <c r="K91" s="36"/>
      <c r="L91" s="36"/>
      <c r="M91" s="36"/>
    </row>
    <row r="92">
      <c r="A92" s="120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</row>
    <row r="93">
      <c r="A93" s="121" t="s">
        <v>611</v>
      </c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</row>
    <row r="94">
      <c r="A94" s="120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</row>
    <row r="95">
      <c r="A95" s="121" t="s">
        <v>612</v>
      </c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</row>
    <row r="96">
      <c r="A96" s="120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</row>
    <row r="97">
      <c r="A97" s="121" t="s">
        <v>613</v>
      </c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</row>
    <row r="98">
      <c r="A98" s="120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</row>
    <row r="99">
      <c r="A99" s="121" t="s">
        <v>614</v>
      </c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</row>
    <row r="100">
      <c r="A100" s="120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</row>
    <row r="101">
      <c r="A101" s="121" t="s">
        <v>615</v>
      </c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</row>
    <row r="102">
      <c r="A102" s="120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</row>
    <row r="103">
      <c r="A103" s="121" t="s">
        <v>616</v>
      </c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</row>
    <row r="104">
      <c r="A104" s="120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</row>
    <row r="105">
      <c r="A105" s="121" t="s">
        <v>617</v>
      </c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</row>
    <row r="106">
      <c r="A106" s="120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</row>
    <row r="107">
      <c r="A107" s="121" t="s">
        <v>618</v>
      </c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</row>
    <row r="108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</row>
    <row r="109">
      <c r="A109" s="111" t="s">
        <v>619</v>
      </c>
      <c r="B109" s="36" t="s">
        <v>620</v>
      </c>
      <c r="C109" s="36"/>
      <c r="D109" s="75" t="s">
        <v>621</v>
      </c>
      <c r="E109" s="36"/>
      <c r="F109" s="36"/>
      <c r="G109" s="36"/>
      <c r="H109" s="122" t="s">
        <v>622</v>
      </c>
      <c r="I109" s="36"/>
      <c r="J109" s="36"/>
      <c r="K109" s="36"/>
      <c r="L109" s="36"/>
      <c r="M109" s="36" t="s">
        <v>623</v>
      </c>
    </row>
    <row r="110">
      <c r="A110" s="123" t="s">
        <v>624</v>
      </c>
      <c r="B110" s="36"/>
      <c r="C110" s="36"/>
      <c r="D110" s="36"/>
      <c r="E110" s="36"/>
      <c r="F110" s="36"/>
      <c r="G110" s="36"/>
      <c r="H110" s="42">
        <f>CLUE_FORMATTER(A110:A120,"#. (# characters, # words), [#]")</f>
        <v>1</v>
      </c>
      <c r="I110" s="42">
        <v>17.0</v>
      </c>
      <c r="J110" s="42">
        <v>5.0</v>
      </c>
      <c r="K110" s="42">
        <v>1.0</v>
      </c>
      <c r="L110" s="36"/>
      <c r="M110" s="36"/>
    </row>
    <row r="111">
      <c r="A111" s="123" t="s">
        <v>625</v>
      </c>
      <c r="B111" s="36"/>
      <c r="C111" s="36"/>
      <c r="D111" s="36"/>
      <c r="E111" s="36"/>
      <c r="F111" s="36"/>
      <c r="G111" s="36"/>
      <c r="H111" s="42">
        <v>2.0</v>
      </c>
      <c r="I111" s="42">
        <v>15.0</v>
      </c>
      <c r="J111" s="42">
        <v>4.0</v>
      </c>
      <c r="K111" s="42">
        <v>4.0</v>
      </c>
      <c r="L111" s="36"/>
      <c r="M111" s="36"/>
    </row>
    <row r="112">
      <c r="A112" s="123" t="s">
        <v>626</v>
      </c>
      <c r="B112" s="36"/>
      <c r="C112" s="36"/>
      <c r="D112" s="36"/>
      <c r="E112" s="36"/>
      <c r="F112" s="36"/>
      <c r="G112" s="36"/>
      <c r="H112" s="42">
        <v>3.0</v>
      </c>
      <c r="I112" s="42">
        <v>20.0</v>
      </c>
      <c r="J112" s="42">
        <v>3.0</v>
      </c>
      <c r="K112" s="42">
        <v>4.0</v>
      </c>
      <c r="L112" s="36"/>
      <c r="M112" s="36"/>
    </row>
    <row r="113">
      <c r="A113" s="123" t="s">
        <v>627</v>
      </c>
      <c r="B113" s="36"/>
      <c r="C113" s="36"/>
      <c r="D113" s="36"/>
      <c r="E113" s="36"/>
      <c r="F113" s="36"/>
      <c r="G113" s="36"/>
      <c r="H113" s="42">
        <v>4.0</v>
      </c>
      <c r="I113" s="42">
        <v>18.0</v>
      </c>
      <c r="J113" s="42">
        <v>5.0</v>
      </c>
      <c r="K113" s="42">
        <v>6.0</v>
      </c>
      <c r="L113" s="36"/>
      <c r="M113" s="36"/>
    </row>
    <row r="114">
      <c r="A114" s="123" t="s">
        <v>628</v>
      </c>
      <c r="B114" s="36"/>
      <c r="C114" s="36"/>
      <c r="D114" s="36"/>
      <c r="E114" s="36"/>
      <c r="F114" s="36"/>
      <c r="G114" s="36"/>
      <c r="H114" s="42">
        <v>5.0</v>
      </c>
      <c r="I114" s="42">
        <v>16.0</v>
      </c>
      <c r="J114" s="42">
        <v>4.0</v>
      </c>
      <c r="K114" s="42">
        <v>2.0</v>
      </c>
      <c r="L114" s="36"/>
      <c r="M114" s="36"/>
    </row>
    <row r="115">
      <c r="A115" s="123" t="s">
        <v>629</v>
      </c>
      <c r="B115" s="36"/>
      <c r="C115" s="36"/>
      <c r="D115" s="36"/>
      <c r="E115" s="36"/>
      <c r="F115" s="36"/>
      <c r="G115" s="36"/>
      <c r="H115" s="36" t="s">
        <v>629</v>
      </c>
      <c r="I115" s="36"/>
      <c r="J115" s="36"/>
      <c r="K115" s="36"/>
      <c r="L115" s="36"/>
      <c r="M115" s="36"/>
    </row>
    <row r="116">
      <c r="A116" s="123" t="s">
        <v>630</v>
      </c>
      <c r="B116" s="36"/>
      <c r="C116" s="36"/>
      <c r="D116" s="36"/>
      <c r="E116" s="36"/>
      <c r="F116" s="36"/>
      <c r="G116" s="36"/>
      <c r="H116" s="42">
        <v>7.0</v>
      </c>
      <c r="I116" s="42">
        <v>12.0</v>
      </c>
      <c r="J116" s="42">
        <v>3.0</v>
      </c>
      <c r="K116" s="42">
        <v>2.0</v>
      </c>
      <c r="L116" s="36"/>
      <c r="M116" s="36"/>
    </row>
    <row r="117">
      <c r="A117" s="123" t="s">
        <v>631</v>
      </c>
      <c r="B117" s="36"/>
      <c r="C117" s="36"/>
      <c r="D117" s="36"/>
      <c r="E117" s="36"/>
      <c r="F117" s="36"/>
      <c r="G117" s="36"/>
      <c r="H117" s="42">
        <v>8.0</v>
      </c>
      <c r="I117" s="42">
        <v>29.0</v>
      </c>
      <c r="J117" s="42">
        <v>8.0</v>
      </c>
      <c r="K117" s="42">
        <v>2.0</v>
      </c>
      <c r="L117" s="36"/>
      <c r="M117" s="36"/>
    </row>
    <row r="118">
      <c r="A118" s="123" t="s">
        <v>632</v>
      </c>
      <c r="B118" s="36"/>
      <c r="C118" s="36"/>
      <c r="D118" s="36"/>
      <c r="E118" s="36"/>
      <c r="F118" s="36"/>
      <c r="G118" s="36"/>
      <c r="H118" s="42">
        <v>9.0</v>
      </c>
      <c r="I118" s="42">
        <v>26.0</v>
      </c>
      <c r="J118" s="42">
        <v>5.0</v>
      </c>
      <c r="K118" s="42">
        <v>3.0</v>
      </c>
      <c r="L118" s="36"/>
      <c r="M118" s="36"/>
    </row>
    <row r="119">
      <c r="A119" s="123" t="s">
        <v>633</v>
      </c>
      <c r="B119" s="36"/>
      <c r="C119" s="36"/>
      <c r="D119" s="36"/>
      <c r="E119" s="36"/>
      <c r="F119" s="36"/>
      <c r="G119" s="36"/>
      <c r="H119" s="42">
        <v>10.0</v>
      </c>
      <c r="I119" s="42">
        <v>28.0</v>
      </c>
      <c r="J119" s="42">
        <v>7.0</v>
      </c>
      <c r="K119" s="42">
        <v>5.0</v>
      </c>
      <c r="L119" s="36"/>
      <c r="M119" s="36"/>
    </row>
    <row r="120">
      <c r="A120" s="123" t="s">
        <v>634</v>
      </c>
      <c r="B120" s="36"/>
      <c r="C120" s="36"/>
      <c r="D120" s="36"/>
      <c r="E120" s="36"/>
      <c r="F120" s="36"/>
      <c r="G120" s="36"/>
      <c r="H120" s="42">
        <v>11.0</v>
      </c>
      <c r="I120" s="42">
        <v>19.0</v>
      </c>
      <c r="J120" s="42">
        <v>7.0</v>
      </c>
      <c r="K120" s="42">
        <v>1.0</v>
      </c>
      <c r="L120" s="36"/>
      <c r="M120" s="36"/>
    </row>
  </sheetData>
  <hyperlinks>
    <hyperlink r:id="rId1" ref="D2"/>
    <hyperlink r:id="rId2" ref="D25"/>
    <hyperlink r:id="rId3" ref="D74"/>
    <hyperlink r:id="rId4" ref="D109"/>
  </hyperlinks>
  <drawing r:id="rId5"/>
</worksheet>
</file>